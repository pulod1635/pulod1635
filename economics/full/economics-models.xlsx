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Маржа" sheetId="3" state="visible" r:id="rId3"/>
    <sheet xmlns:r="http://schemas.openxmlformats.org/officeDocument/2006/relationships" name="NPV" sheetId="4" state="visible" r:id="rId4"/>
    <sheet xmlns:r="http://schemas.openxmlformats.org/officeDocument/2006/relationships" name="Деньги" sheetId="5" state="visible" r:id="rId5"/>
    <sheet xmlns:r="http://schemas.openxmlformats.org/officeDocument/2006/relationships" name="Рынок" sheetId="6" state="visible" r:id="rId6"/>
    <sheet xmlns:r="http://schemas.openxmlformats.org/officeDocument/2006/relationships" name="Посевной_план" sheetId="7" state="visible" r:id="rId7"/>
    <sheet xmlns:r="http://schemas.openxmlformats.org/officeDocument/2006/relationships" name="Качество" sheetId="8" state="visible" r:id="rId8"/>
    <sheet xmlns:r="http://schemas.openxmlformats.org/officeDocument/2006/relationships" name="Сценарии" sheetId="9" state="visible" r:id="rId9"/>
    <sheet xmlns:r="http://schemas.openxmlformats.org/officeDocument/2006/relationships" name="Техника" sheetId="10" state="visible" r:id="rId10"/>
    <sheet xmlns:r="http://schemas.openxmlformats.org/officeDocument/2006/relationships" name="ГПХ_шаблон" sheetId="11" state="visible" r:id="rId11"/>
    <sheet xmlns:r="http://schemas.openxmlformats.org/officeDocument/2006/relationships" name="Контроль" sheetId="12" state="visible" r:id="rId12"/>
  </sheets>
  <definedNames>
    <definedName name="_xlnm._FilterDatabase" localSheetId="0" hidden="1">'Инструкция'!$A$1:$B$12</definedName>
    <definedName name="_xlnm.Print_Titles" localSheetId="0">'Инструкция'!$1:$1</definedName>
    <definedName name="_xlnm._FilterDatabase" localSheetId="1" hidden="1">'Параметры'!$A$1:$D$18</definedName>
    <definedName name="_xlnm.Print_Titles" localSheetId="1">'Параметры'!$1:$1</definedName>
    <definedName name="_xlnm._FilterDatabase" localSheetId="2" hidden="1">'Маржа'!$A$1:$C$8</definedName>
    <definedName name="_xlnm.Print_Titles" localSheetId="2">'Маржа'!$1:$1</definedName>
    <definedName name="_xlnm._FilterDatabase" localSheetId="3" hidden="1">'NPV'!$A$1:$E$10</definedName>
    <definedName name="_xlnm.Print_Titles" localSheetId="3">'NPV'!$1:$1</definedName>
    <definedName name="_xlnm._FilterDatabase" localSheetId="4" hidden="1">'Деньги'!$A$1:$E$6</definedName>
    <definedName name="_xlnm.Print_Titles" localSheetId="4">'Деньги'!$1:$1</definedName>
    <definedName name="_xlnm._FilterDatabase" localSheetId="5" hidden="1">'Рынок'!$A$1:$C$13</definedName>
    <definedName name="_xlnm.Print_Titles" localSheetId="5">'Рынок'!$1:$1</definedName>
    <definedName name="_xlnm._FilterDatabase" localSheetId="6" hidden="1">'Посевной_план'!$A$1:$C$14</definedName>
    <definedName name="_xlnm.Print_Titles" localSheetId="6">'Посевной_план'!$1:$1</definedName>
    <definedName name="_xlnm._FilterDatabase" localSheetId="7" hidden="1">'Качество'!$A$1:$C$14</definedName>
    <definedName name="_xlnm.Print_Titles" localSheetId="7">'Качество'!$1:$1</definedName>
    <definedName name="_xlnm._FilterDatabase" localSheetId="8" hidden="1">'Сценарии'!$A$1:$F$7</definedName>
    <definedName name="_xlnm.Print_Titles" localSheetId="8">'Сценарии'!$1:$1</definedName>
    <definedName name="_xlnm._FilterDatabase" localSheetId="9" hidden="1">'Техника'!$A$1:$C$11</definedName>
    <definedName name="_xlnm.Print_Titles" localSheetId="9">'Техника'!$1:$1</definedName>
    <definedName name="_xlnm._FilterDatabase" localSheetId="10" hidden="1">'ГПХ_шаблон'!$A$1:$I$6</definedName>
    <definedName name="_xlnm.Print_Titles" localSheetId="10">'ГПХ_шаблон'!$1:$1</definedName>
    <definedName name="_xlnm._FilterDatabase" localSheetId="11" hidden="1">'Контроль'!$A$1:$D$11</definedName>
    <definedName name="_xlnm.Print_Titles" localSheetId="11">'Контроль'!$1:$1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93B57"/>
      <sz val="11"/>
    </font>
  </fonts>
  <fills count="5">
    <fill>
      <patternFill/>
    </fill>
    <fill>
      <patternFill patternType="gray125"/>
    </fill>
    <fill>
      <patternFill patternType="solid">
        <fgColor rgb="00193B57"/>
      </patternFill>
    </fill>
    <fill>
      <patternFill patternType="solid">
        <fgColor rgb="00FFF2CC"/>
      </patternFill>
    </fill>
    <fill>
      <patternFill patternType="solid">
        <fgColor rgb="00E6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10" fontId="2" fillId="4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B12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0" customWidth="1" min="1" max="1"/>
    <ns0:col width="110" customWidth="1" min="2" max="2"/>
  </ns0:cols>
  <ns0:sheetData>
    <ns0:row r="1">
      <ns0:c r="A1" s="1" t="inlineStr">
        <ns0:is>
          <ns0:t>Раздел</ns0:t>
        </ns0:is>
      </ns0:c>
      <ns0:c r="B1" s="1" t="inlineStr">
        <ns0:is>
          <ns0:t>Как использовать</ns0:t>
        </ns0:is>
      </ns0:c>
    </ns0:row>
    <ns0:row r="2">
      <ns0:c r="A2" s="2" t="inlineStr">
        <ns0:is>
          <ns0:t>Назначение</ns0:t>
        </ns0:is>
      </ns0:c>
      <ns0:c r="B2" s="2" t="inlineStr">
        <ns0:is>
          <ns0:t>Условные модели к новой книге. Не отчётность реальной компании.</ns0:t>
        </ns0:is>
      </ns0:c>
    </ns0:row>
    <ns0:row r="3">
      <ns0:c r="A3" s="2" t="inlineStr">
        <ns0:is>
          <ns0:t>Редактирование</ns0:t>
        </ns0:is>
      </ns0:c>
      <ns0:c r="B3" s="2" t="inlineStr">
        <ns0:is>
          <ns0:t>Жёлтые числа — входы; голубые клетки — формулы. Текст поясняет единицы.</ns0:t>
        </ns0:is>
      </ns0:c>
    </ns0:row>
    <ns0:row r="4">
      <ns0:c r="A4" s="2" t="inlineStr">
        <ns0:is>
          <ns0:t>Пересчёт</ns0:t>
        </ns0:is>
      </ns0:c>
      <ns0:c r="B4" s="2" t="inlineStr">
        <ns0:is>
          <ns0:t>Формулы записаны на английском, как требует XLSX. Откройте в Excel или LibreOffice с автоматическим пересчётом.</ns0:t>
        </ns0:is>
      </ns0:c>
    </ns0:row>
    <ns0:row r="5">
      <ns0:c r="A5" s="2" t="inlineStr">
        <ns0:is>
          <ns0:t>Верификация</ns0:t>
        </ns0:is>
      </ns0:c>
      <ns0:c r="B5" s="2" t="inlineStr">
        <ns0:is>
          <ns0:t>Формулы базового сценария вычислены независимым ограниченным Python-проверщиком и сохранены в кеше XLSX. openpyxl сам формулы не вычисляет.</ns0:t>
        </ns0:is>
      </ns0:c>
    </ns0:row>
    <ns0:row r="6">
      <ns0:c r="A6" s="2" t="inlineStr">
        <ns0:is>
          <ns0:t>При изменении</ns0:t>
        </ns0:is>
      </ns0:c>
      <ns0:c r="B6" s="2" t="inlineStr">
        <ns0:is>
          <ns0:t>Контрольные значения относятся только к исходным входам. После изменения сравните новый расчёт отдельно.</ns0:t>
        </ns0:is>
      </ns0:c>
    </ns0:row>
    <ns0:row r="7">
      <ns0:c r="A7" s="2" t="inlineStr">
        <ns0:is>
          <ns0:t>Совместимость</ns0:t>
        </ns0:is>
      </ns0:c>
      <ns0:c r="B7" s="2" t="inlineStr">
        <ns0:is>
          <ns0:t>Использованы арифметика, SUM, MAX, IF, ROUNDUP; макросов и внешних ссылок нет.</ns0:t>
        </ns0:is>
      </ns0:c>
    </ns0:row>
    <ns0:row r="8">
      <ns0:c r="A8" s="2" t="inlineStr">
        <ns0:is>
          <ns0:t>Налоги</ns0:t>
        </ns0:is>
      </ns0:c>
      <ns0:c r="B8" s="2" t="inlineStr">
        <ns0:is>
          <ns0:t>Действующие налоговые ставки не включены. Нужен отдельный проверенный справочник по юрисдикции и дате.</ns0:t>
        </ns0:is>
      </ns0:c>
    </ns0:row>
    <ns0:row r="9">
      <ns0:c r="A9" s="2" t="inlineStr">
        <ns0:is>
          <ns0:t>Риск</ns0:t>
        </ns0:is>
      </ns0:c>
      <ns0:c r="B9" s="2" t="inlineStr">
        <ns0:is>
          <ns0:t>Параметры распределений синтетические, не оценка рисков конкретного хозяйства.</ns0:t>
        </ns0:is>
      </ns0:c>
    </ns0:row>
    <ns0:row r="10">
      <ns0:c r="A10" s="2" t="inlineStr">
        <ns0:is>
          <ns0:t>Книга</ns0:t>
        </ns0:is>
      </ns0:c>
      <ns0:c r="B10" s="2" t="inlineStr">
        <ns0:is>
          <ns0:t>Нумерация глав в описаниях соответствует книге.</ns0:t>
        </ns0:is>
      </ns0:c>
    </ns0:row>
    <ns0:row r="11">
      <ns0:c r="A11" s="2" t="inlineStr">
        <ns0:is>
          <ns0:t>События</ns0:t>
        </ns0:is>
      </ns0:c>
      <ns0:c r="B11" s="2" t="inlineStr">
        <ns0:is>
          <ns0:t>Шаблон ГПХ работает с уникальными подтверждёнными событиями. Контроль дублей выполнен в practice.py.</ns0:t>
        </ns0:is>
      </ns0:c>
    </ns0:row>
    <ns0:row r="12">
      <ns0:c r="A12" s="2" t="inlineStr">
        <ns0:is>
          <ns0:t>Безопасность</ns0:t>
        </ns0:is>
      </ns0:c>
      <ns0:c r="B12" s="2" t="inlineStr">
        <ns0:is>
          <ns0:t>Не помещайте паспорта и реквизиты работников в учебную таблицу.</ns0:t>
        </ns0:is>
      </ns0:c>
    </ns0:row>
  </ns0:sheetData>
  <ns0:autoFilter ref="A1:B12"/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xl/worksheets/sheet2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D18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7" customWidth="1" min="1" max="1"/>
    <ns0:col width="22" customWidth="1" min="2" max="2"/>
    <ns0:col width="22" customWidth="1" min="3" max="3"/>
    <ns0:col width="22" customWidth="1" min="4" max="4"/>
  </ns0:cols>
  <ns0:sheetData>
    <ns0:row r="1">
      <ns0:c r="A1" s="1" t="inlineStr">
        <ns0:is>
          <ns0:t>Параметр</ns0:t>
        </ns0:is>
      </ns0:c>
      <ns0:c r="B1" s="1" t="inlineStr">
        <ns0:is>
          <ns0:t>Значение</ns0:t>
        </ns0:is>
      </ns0:c>
      <ns0:c r="C1" s="1" t="inlineStr">
        <ns0:is>
          <ns0:t>Единица</ns0:t>
        </ns0:is>
      </ns0:c>
      <ns0:c r="D1" s="1" t="inlineStr">
        <ns0:is>
          <ns0:t>Глава / смысл</ns0:t>
        </ns0:is>
      </ns0:c>
    </ns0:row>
    <ns0:row r="2">
      <ns0:c r="A2" s="2" t="inlineStr">
        <ns0:is>
          <ns0:t>Цена сырца</ns0:t>
        </ns0:is>
      </ns0:c>
      <ns0:c r="B2" s="3" t="n">
        <ns0:v>6.5</ns0:v>
      </ns0:c>
      <ns0:c r="C2" s="2" t="inlineStr">
        <ns0:is>
          <ns0:t>сомони/кг</ns0:t>
        </ns0:is>
      </ns0:c>
      <ns0:c r="D2" s="2" t="inlineStr">
        <ns0:is>
          <ns0:t>18,29</ns0:t>
        </ns0:is>
      </ns0:c>
    </ns0:row>
    <ns0:row r="3">
      <ns0:c r="A3" s="2" t="inlineStr">
        <ns0:is>
          <ns0:t>Сбор и сбыт</ns0:t>
        </ns0:is>
      </ns0:c>
      <ns0:c r="B3" s="3" t="n">
        <ns0:v>1.2</ns0:v>
      </ns0:c>
      <ns0:c r="C3" s="2" t="inlineStr">
        <ns0:is>
          <ns0:t>сомони/кг</ns0:t>
        </ns0:is>
      </ns0:c>
      <ns0:c r="D3" s="2" t="inlineStr">
        <ns0:is>
          <ns0:t>18,29</ns0:t>
        </ns0:is>
      </ns0:c>
    </ns0:row>
    <ns0:row r="4">
      <ns0:c r="A4" s="2" t="inlineStr">
        <ns0:is>
          <ns0:t>Затраты до уборки</ns0:t>
        </ns0:is>
      </ns0:c>
      <ns0:c r="B4" s="3" t="n">
        <ns0:v>14000</ns0:v>
      </ns0:c>
      <ns0:c r="C4" s="2" t="inlineStr">
        <ns0:is>
          <ns0:t>сомони/га</ns0:t>
        </ns0:is>
      </ns0:c>
      <ns0:c r="D4" s="2" t="inlineStr">
        <ns0:is>
          <ns0:t>18,29; без повторного включения сбора</ns0:t>
        </ns0:is>
      </ns0:c>
    </ns0:row>
    <ns0:row r="5">
      <ns0:c r="A5" s="2" t="inlineStr">
        <ns0:is>
          <ns0:t>Урожайность</ns0:t>
        </ns0:is>
      </ns0:c>
      <ns0:c r="B5" s="3" t="n">
        <ns0:v>3000</ns0:v>
      </ns0:c>
      <ns0:c r="C5" s="2" t="inlineStr">
        <ns0:is>
          <ns0:t>кг/га</ns0:t>
        </ns0:is>
      </ns0:c>
      <ns0:c r="D5" s="2" t="inlineStr">
        <ns0:is>
          <ns0:t>18,29</ns0:t>
        </ns0:is>
      </ns0:c>
    </ns0:row>
    <ns0:row r="6">
      <ns0:c r="A6" s="2" t="inlineStr">
        <ns0:is>
          <ns0:t>Площадь</ns0:t>
        </ns0:is>
      </ns0:c>
      <ns0:c r="B6" s="3" t="n">
        <ns0:v>50</ns0:v>
      </ns0:c>
      <ns0:c r="C6" s="2" t="inlineStr">
        <ns0:is>
          <ns0:t>га</ns0:t>
        </ns0:is>
      </ns0:c>
      <ns0:c r="D6" s="2" t="inlineStr">
        <ns0:is>
          <ns0:t>Модель чувствительности</ns0:t>
        </ns0:is>
      </ns0:c>
    </ns0:row>
    <ns0:row r="7">
      <ns0:c r="A7" s="2" t="inlineStr">
        <ns0:is>
          <ns0:t>Инвестиция</ns0:t>
        </ns0:is>
      </ns0:c>
      <ns0:c r="B7" s="3" t="n">
        <ns0:v>150000</ns0:v>
      </ns0:c>
      <ns0:c r="C7" s="2" t="inlineStr">
        <ns0:is>
          <ns0:t>сомони сегодня</ns0:t>
        </ns0:is>
      </ns0:c>
      <ns0:c r="D7" s="2" t="inlineStr">
        <ns0:is>
          <ns0:t>20</ns0:t>
        </ns0:is>
      </ns0:c>
    </ns0:row>
    <ns0:row r="8">
      <ns0:c r="A8" s="2" t="inlineStr">
        <ns0:is>
          <ns0:t>Годовой поток</ns0:t>
        </ns0:is>
      </ns0:c>
      <ns0:c r="B8" s="3" t="n">
        <ns0:v>60000</ns0:v>
      </ns0:c>
      <ns0:c r="C8" s="2" t="inlineStr">
        <ns0:is>
          <ns0:t>сомони в конце года</ns0:t>
        </ns0:is>
      </ns0:c>
      <ns0:c r="D8" s="2" t="inlineStr">
        <ns0:is>
          <ns0:t>20</ns0:t>
        </ns0:is>
      </ns0:c>
    </ns0:row>
    <ns0:row r="9">
      <ns0:c r="A9" s="2" t="inlineStr">
        <ns0:is>
          <ns0:t>Ставка</ns0:t>
        </ns0:is>
      </ns0:c>
      <ns0:c r="B9" s="4" t="n">
        <ns0:v>0.15</ns0:v>
      </ns0:c>
      <ns0:c r="C9" s="2" t="inlineStr">
        <ns0:is>
          <ns0:t>доля в год</ns0:t>
        </ns0:is>
      </ns0:c>
      <ns0:c r="D9" s="2" t="inlineStr">
        <ns0:is>
          <ns0:t>20</ns0:t>
        </ns0:is>
      </ns0:c>
    </ns0:row>
    <ns0:row r="10">
      <ns0:c r="A10" s="2" t="inlineStr">
        <ns0:is>
          <ns0:t>Срок</ns0:t>
        </ns0:is>
      </ns0:c>
      <ns0:c r="B10" s="3" t="n">
        <ns0:v>5</ns0:v>
      </ns0:c>
      <ns0:c r="C10" s="2" t="inlineStr">
        <ns0:is>
          <ns0:t>лет</ns0:t>
        </ns0:is>
      </ns0:c>
      <ns0:c r="D10" s="2" t="inlineStr">
        <ns0:is>
          <ns0:t>20; расписание фиксировано на пять лет</ns0:t>
        </ns0:is>
      </ns0:c>
    </ns0:row>
    <ns0:row r="11">
      <ns0:c r="A11" s="2" t="inlineStr">
        <ns0:is>
          <ns0:t>Начальные деньги</ns0:t>
        </ns0:is>
      </ns0:c>
      <ns0:c r="B11" s="3" t="n">
        <ns0:v>100000</ns0:v>
      </ns0:c>
      <ns0:c r="C11" s="2" t="inlineStr">
        <ns0:is>
          <ns0:t>сомони</ns0:t>
        </ns0:is>
      </ns0:c>
      <ns0:c r="D11" s="2" t="inlineStr">
        <ns0:is>
          <ns0:t>19</ns0:t>
        </ns0:is>
      </ns0:c>
    </ns0:row>
    <ns0:row r="12">
      <ns0:c r="A12" s="2" t="inlineStr">
        <ns0:is>
          <ns0:t>Резерв</ns0:t>
        </ns0:is>
      </ns0:c>
      <ns0:c r="B12" s="3" t="n">
        <ns0:v>20000</ns0:v>
      </ns0:c>
      <ns0:c r="C12" s="2" t="inlineStr">
        <ns0:is>
          <ns0:t>сомони</ns0:t>
        </ns0:is>
      </ns0:c>
      <ns0:c r="D12" s="2" t="inlineStr">
        <ns0:is>
          <ns0:t>19</ns0:t>
        </ns0:is>
      </ns0:c>
    </ns0:row>
    <ns0:row r="13">
      <ns0:c r="A13" s="2" t="inlineStr">
        <ns0:is>
          <ns0:t>Земля</ns0:t>
        </ns0:is>
      </ns0:c>
      <ns0:c r="B13" s="3" t="n">
        <ns0:v>100</ns0:v>
      </ns0:c>
      <ns0:c r="C13" s="2" t="inlineStr">
        <ns0:is>
          <ns0:t>га</ns0:t>
        </ns0:is>
      </ns0:c>
      <ns0:c r="D13" s="2" t="inlineStr">
        <ns0:is>
          <ns0:t>3</ns0:t>
        </ns0:is>
      </ns0:c>
    </ns0:row>
    <ns0:row r="14">
      <ns0:c r="A14" s="2" t="inlineStr">
        <ns0:is>
          <ns0:t>Вода</ns0:t>
        </ns0:is>
      </ns0:c>
      <ns0:c r="B14" s="3" t="n">
        <ns0:v>300</ns0:v>
      </ns0:c>
      <ns0:c r="C14" s="2" t="inlineStr">
        <ns0:is>
          <ns0:t>условных единиц</ns0:t>
        </ns0:is>
      </ns0:c>
      <ns0:c r="D14" s="2" t="inlineStr">
        <ns0:is>
          <ns0:t>3</ns0:t>
        </ns0:is>
      </ns0:c>
    </ns0:row>
    <ns0:row r="15">
      <ns0:c r="A15" s="2" t="inlineStr">
        <ns0:is>
          <ns0:t>Цена машины для мощности</ns0:t>
        </ns0:is>
      </ns0:c>
      <ns0:c r="B15" s="3" t="n">
        <ns0:v>825000</ns0:v>
      </ns0:c>
      <ns0:c r="C15" s="2" t="inlineStr">
        <ns0:is>
          <ns0:t>сомони/единицу</ns0:t>
        </ns0:is>
      </ns0:c>
      <ns0:c r="D15" s="2" t="inlineStr">
        <ns0:is>
          <ns0:t>22</ns0:t>
        </ns0:is>
      </ns0:c>
    </ns0:row>
    <ns0:row r="16">
      <ns0:c r="A16" s="2" t="inlineStr">
        <ns0:is>
          <ns0:t>Сезонный сбор</ns0:t>
        </ns0:is>
      </ns0:c>
      <ns0:c r="B16" s="3" t="n">
        <ns0:v>4050</ns0:v>
      </ns0:c>
      <ns0:c r="C16" s="2" t="inlineStr">
        <ns0:is>
          <ns0:t>тонн</ns0:t>
        </ns0:is>
      </ns0:c>
      <ns0:c r="D16" s="2" t="inlineStr">
        <ns0:is>
          <ns0:t>22</ns0:t>
        </ns0:is>
      </ns0:c>
    </ns0:row>
    <ns0:row r="17">
      <ns0:c r="A17" s="2" t="inlineStr">
        <ns0:is>
          <ns0:t>Мощность машины</ns0:t>
        </ns0:is>
      </ns0:c>
      <ns0:c r="B17" s="3" t="n">
        <ns0:v>1200</ns0:v>
      </ns0:c>
      <ns0:c r="C17" s="2" t="inlineStr">
        <ns0:is>
          <ns0:t>тонн/сезон</ns0:t>
        </ns0:is>
      </ns0:c>
      <ns0:c r="D17" s="2" t="inlineStr">
        <ns0:is>
          <ns0:t>22</ns0:t>
        </ns0:is>
      </ns0:c>
    </ns0:row>
    <ns0:row r="18">
      <ns0:c r="A18" s="2" t="inlineStr">
        <ns0:is>
          <ns0:t>Готовность</ns0:t>
        </ns0:is>
      </ns0:c>
      <ns0:c r="B18" s="4" t="n">
        <ns0:v>0.8</ns0:v>
      </ns0:c>
      <ns0:c r="C18" s="2" t="inlineStr">
        <ns0:is>
          <ns0:t>доля</ns0:t>
        </ns0:is>
      </ns0:c>
      <ns0:c r="D18" s="2" t="inlineStr">
        <ns0:is>
          <ns0:t>22</ns0:t>
        </ns0:is>
      </ns0:c>
    </ns0:row>
  </ns0:sheetData>
  <ns0:autoFilter ref="A1:D18"/>
  <ns0:dataValidations count="1">
    <ns0:dataValidation sqref="B2:B8 B11:B17" showDropDown="0" showInputMessage="0" showErrorMessage="1" allowBlank="0" error="Используйте неотрицательное число" type="decimal" operator="greaterThanOrEqual">
      <ns0:formula1>0</ns0:formula1>
    </ns0:dataValidation>
  </ns0:dataValidations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xl/worksheets/sheet3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C8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7" customWidth="1" min="1" max="1"/>
    <ns0:col width="22" customWidth="1" min="2" max="2"/>
    <ns0:col width="22" customWidth="1" min="3" max="3"/>
  </ns0:cols>
  <ns0:sheetData>
    <ns0:row r="1">
      <ns0:c r="A1" s="1" t="inlineStr">
        <ns0:is>
          <ns0:t>Показатель</ns0:t>
        </ns0:is>
      </ns0:c>
      <ns0:c r="B1" s="1" t="inlineStr">
        <ns0:is>
          <ns0:t>Формула / значение</ns0:t>
        </ns0:is>
      </ns0:c>
      <ns0:c r="C1" s="1" t="inlineStr">
        <ns0:is>
          <ns0:t>Единица</ns0:t>
        </ns0:is>
      </ns0:c>
    </ns0:row>
    <ns0:row r="2">
      <ns0:c r="A2" s="2" t="inlineStr">
        <ns0:is>
          <ns0:t>Выручка на га</ns0:t>
        </ns0:is>
      </ns0:c>
      <ns0:c r="B2" s="5">
        <ns0:f>'Параметры'!B2*'Параметры'!B5</ns0:f>
        <ns0:v>19500.0</ns0:v>
      </ns0:c>
      <ns0:c r="C2" s="2" t="inlineStr">
        <ns0:is>
          <ns0:t>сомони/га</ns0:t>
        </ns0:is>
      </ns0:c>
    </ns0:row>
    <ns0:row r="3">
      <ns0:c r="A3" s="2" t="inlineStr">
        <ns0:is>
          <ns0:t>Сбор и сбыт на га</ns0:t>
        </ns0:is>
      </ns0:c>
      <ns0:c r="B3" s="5">
        <ns0:f>'Параметры'!B3*'Параметры'!B5</ns0:f>
        <ns0:v>3600.0</ns0:v>
      </ns0:c>
      <ns0:c r="C3" s="2" t="inlineStr">
        <ns0:is>
          <ns0:t>сомони/га</ns0:t>
        </ns0:is>
      </ns0:c>
    </ns0:row>
    <ns0:row r="4">
      <ns0:c r="A4" s="2" t="inlineStr">
        <ns0:is>
          <ns0:t>Маржа после затрат до уборки</ns0:t>
        </ns0:is>
      </ns0:c>
      <ns0:c r="B4" s="5">
        <ns0:f>B2-B3-'Параметры'!B4</ns0:f>
        <ns0:v>1900.0</ns0:v>
      </ns0:c>
      <ns0:c r="C4" s="2" t="inlineStr">
        <ns0:is>
          <ns0:t>сомони/га; не чистая прибыль</ns0:t>
        </ns0:is>
      </ns0:c>
    </ns0:row>
    <ns0:row r="5">
      <ns0:c r="A5" s="2" t="inlineStr">
        <ns0:is>
          <ns0:t>Безубыточный урожай</ns0:t>
        </ns0:is>
      </ns0:c>
      <ns0:c r="B5" s="5">
        <ns0:f>'Параметры'!B4/('Параметры'!B2-'Параметры'!B3)</ns0:f>
        <ns0:v>2641.509433962264</ns0:v>
      </ns0:c>
      <ns0:c r="C5" s="2" t="inlineStr">
        <ns0:is>
          <ns0:t>кг/га при положительной удельной марже</ns0:t>
        </ns0:is>
      </ns0:c>
    </ns0:row>
    <ns0:row r="6">
      <ns0:c r="A6" s="2" t="inlineStr">
        <ns0:is>
          <ns0:t>Безубыточный урожай в ц</ns0:t>
        </ns0:is>
      </ns0:c>
      <ns0:c r="B6" s="5">
        <ns0:f>B5/100</ns0:f>
        <ns0:v>26.41509433962264</ns0:v>
      </ns0:c>
      <ns0:c r="C6" s="2" t="inlineStr">
        <ns0:is>
          <ns0:t>ц/га</ns0:t>
        </ns0:is>
      </ns0:c>
    </ns0:row>
    <ns0:row r="7">
      <ns0:c r="A7" s="2" t="inlineStr">
        <ns0:is>
          <ns0:t>Общая маржа</ns0:t>
        </ns0:is>
      </ns0:c>
      <ns0:c r="B7" s="5">
        <ns0:f>B4*'Параметры'!B6</ns0:f>
        <ns0:v>95000.0</ns0:v>
      </ns0:c>
      <ns0:c r="C7" s="2" t="inlineStr">
        <ns0:is>
          <ns0:t>сомони</ns0:t>
        </ns0:is>
      </ns0:c>
    </ns0:row>
    <ns0:row r="8">
      <ns0:c r="A8" s="2" t="inlineStr">
        <ns0:is>
          <ns0:t>Запас прочности</ns0:t>
        </ns0:is>
      </ns0:c>
      <ns0:c r="B8" s="6">
        <ns0:f>('Параметры'!B5-B5)/'Параметры'!B5</ns0:f>
        <ns0:v>0.11949685534591192</ns0:v>
      </ns0:c>
      <ns0:c r="C8" s="2" t="inlineStr">
        <ns0:is>
          <ns0:t>доля</ns0:t>
        </ns0:is>
      </ns0:c>
    </ns0:row>
  </ns0:sheetData>
  <ns0:autoFilter ref="A1:C8"/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xl/worksheets/sheet4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E10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7" customWidth="1" min="1" max="1"/>
    <ns0:col width="22" customWidth="1" min="2" max="2"/>
    <ns0:col width="22" customWidth="1" min="3" max="3"/>
    <ns0:col width="22" customWidth="1" min="4" max="4"/>
    <ns0:col width="22" customWidth="1" min="5" max="5"/>
  </ns0:cols>
  <ns0:sheetData>
    <ns0:row r="1">
      <ns0:c r="A1" s="1" t="inlineStr">
        <ns0:is>
          <ns0:t>Год</ns0:t>
        </ns0:is>
      </ns0:c>
      <ns0:c r="B1" s="1" t="inlineStr">
        <ns0:is>
          <ns0:t>Поток</ns0:t>
        </ns0:is>
      </ns0:c>
      <ns0:c r="C1" s="1" t="inlineStr">
        <ns0:is>
          <ns0:t>Дисконт-фактор</ns0:t>
        </ns0:is>
      </ns0:c>
      <ns0:c r="D1" s="1" t="inlineStr">
        <ns0:is>
          <ns0:t>Приведённый поток</ns0:t>
        </ns0:is>
      </ns0:c>
      <ns0:c r="E1" s="1" t="inlineStr">
        <ns0:is>
          <ns0:t>Накопленный PV</ns0:t>
        </ns0:is>
      </ns0:c>
    </ns0:row>
    <ns0:row r="2">
      <ns0:c r="A2" s="3" t="n">
        <ns0:v>0</ns0:v>
      </ns0:c>
      <ns0:c r="B2" s="5">
        <ns0:f>-'Параметры'!B7</ns0:f>
        <ns0:v>-150000</ns0:v>
      </ns0:c>
      <ns0:c r="C2" s="3" t="n">
        <ns0:v>1</ns0:v>
      </ns0:c>
      <ns0:c r="D2" s="5">
        <ns0:f>B2*C2</ns0:f>
        <ns0:v>-150000</ns0:v>
      </ns0:c>
      <ns0:c r="E2" s="5">
        <ns0:f>D2</ns0:f>
        <ns0:v>-150000</ns0:v>
      </ns0:c>
    </ns0:row>
    <ns0:row r="3">
      <ns0:c r="A3" s="3" t="n">
        <ns0:v>1</ns0:v>
      </ns0:c>
      <ns0:c r="B3" s="5">
        <ns0:f>'Параметры'!B8</ns0:f>
        <ns0:v>60000</ns0:v>
      </ns0:c>
      <ns0:c r="C3" s="5">
        <ns0:f>1/(1+'Параметры'!B9)^A3</ns0:f>
        <ns0:v>0.8695652173913044</ns0:v>
      </ns0:c>
      <ns0:c r="D3" s="5">
        <ns0:f>B3*C3</ns0:f>
        <ns0:v>52173.913043478264</ns0:v>
      </ns0:c>
      <ns0:c r="E3" s="5">
        <ns0:f>E2+D3</ns0:f>
        <ns0:v>-97826.08695652173</ns0:v>
      </ns0:c>
    </ns0:row>
    <ns0:row r="4">
      <ns0:c r="A4" s="3" t="n">
        <ns0:v>2</ns0:v>
      </ns0:c>
      <ns0:c r="B4" s="5">
        <ns0:f>'Параметры'!B8</ns0:f>
        <ns0:v>60000</ns0:v>
      </ns0:c>
      <ns0:c r="C4" s="5">
        <ns0:f>1/(1+'Параметры'!B9)^A4</ns0:f>
        <ns0:v>0.7561436672967865</ns0:v>
      </ns0:c>
      <ns0:c r="D4" s="5">
        <ns0:f>B4*C4</ns0:f>
        <ns0:v>45368.62003780719</ns0:v>
      </ns0:c>
      <ns0:c r="E4" s="5">
        <ns0:f>E3+D4</ns0:f>
        <ns0:v>-52457.46691871454</ns0:v>
      </ns0:c>
    </ns0:row>
    <ns0:row r="5">
      <ns0:c r="A5" s="3" t="n">
        <ns0:v>3</ns0:v>
      </ns0:c>
      <ns0:c r="B5" s="5">
        <ns0:f>'Параметры'!B8</ns0:f>
        <ns0:v>60000</ns0:v>
      </ns0:c>
      <ns0:c r="C5" s="5">
        <ns0:f>1/(1+'Параметры'!B9)^A5</ns0:f>
        <ns0:v>0.6575162324319883</ns0:v>
      </ns0:c>
      <ns0:c r="D5" s="5">
        <ns0:f>B5*C5</ns0:f>
        <ns0:v>39450.9739459193</ns0:v>
      </ns0:c>
      <ns0:c r="E5" s="5">
        <ns0:f>E4+D5</ns0:f>
        <ns0:v>-13006.49297279524</ns0:v>
      </ns0:c>
    </ns0:row>
    <ns0:row r="6">
      <ns0:c r="A6" s="3" t="n">
        <ns0:v>4</ns0:v>
      </ns0:c>
      <ns0:c r="B6" s="5">
        <ns0:f>'Параметры'!B8</ns0:f>
        <ns0:v>60000</ns0:v>
      </ns0:c>
      <ns0:c r="C6" s="5">
        <ns0:f>1/(1+'Параметры'!B9)^A6</ns0:f>
        <ns0:v>0.5717532455930334</ns0:v>
      </ns0:c>
      <ns0:c r="D6" s="5">
        <ns0:f>B6*C6</ns0:f>
        <ns0:v>34305.19473558201</ns0:v>
      </ns0:c>
      <ns0:c r="E6" s="5">
        <ns0:f>E5+D6</ns0:f>
        <ns0:v>21298.701762786768</ns0:v>
      </ns0:c>
    </ns0:row>
    <ns0:row r="7">
      <ns0:c r="A7" s="3" t="n">
        <ns0:v>5</ns0:v>
      </ns0:c>
      <ns0:c r="B7" s="5">
        <ns0:f>'Параметры'!B8</ns0:f>
        <ns0:v>60000</ns0:v>
      </ns0:c>
      <ns0:c r="C7" s="5">
        <ns0:f>1/(1+'Параметры'!B9)^A7</ns0:f>
        <ns0:v>0.4971767352982899</ns0:v>
      </ns0:c>
      <ns0:c r="D7" s="5">
        <ns0:f>B7*C7</ns0:f>
        <ns0:v>29830.604117897394</ns0:v>
      </ns0:c>
      <ns0:c r="E7" s="5">
        <ns0:f>E6+D7</ns0:f>
        <ns0:v>51129.30588068416</ns0:v>
      </ns0:c>
    </ns0:row>
    <ns0:row r="8">
      <ns0:c r="A8" s="2" t="inlineStr">
        <ns0:is>
          <ns0:t>NPV</ns0:t>
        </ns0:is>
      </ns0:c>
      <ns0:c r="B8" s="5">
        <ns0:f>SUM(D2:D7)</ns0:f>
        <ns0:v>51129.30588068416</ns0:v>
      </ns0:c>
      <ns0:c r="C8" s="2" t="inlineStr">
        <ns0:is>
          <ns0:t>Потоки в конце лет; без остатка</ns0:t>
        </ns0:is>
      </ns0:c>
      <ns0:c r="D8" s="2" t="n"/>
      <ns0:c r="E8" s="2" t="n"/>
    </ns0:row>
    <ns0:row r="9">
      <ns0:c r="A9" s="2" t="inlineStr">
        <ns0:is>
          <ns0:t>Простая окупаемость</ns0:t>
        </ns0:is>
      </ns0:c>
      <ns0:c r="B9" s="5">
        <ns0:f>'Параметры'!B7/'Параметры'!B8</ns0:f>
        <ns0:v>2.5</ns0:v>
      </ns0:c>
      <ns0:c r="C9" s="2" t="inlineStr">
        <ns0:is>
          <ns0:t>лет при равномерном возникновении потока</ns0:t>
        </ns0:is>
      </ns0:c>
      <ns0:c r="D9" s="2" t="n"/>
      <ns0:c r="E9" s="2" t="n"/>
    </ns0:row>
    <ns0:row r="10">
      <ns0:c r="A10" s="2" t="inlineStr">
        <ns0:is>
          <ns0:t>Ограничение</ns0:t>
        </ns0:is>
      </ns0:c>
      <ns0:c r="B10" s="2" t="inlineStr">
        <ns0:is>
          <ns0:t>Срок на листе фиксирован: 5 лет. При другом сроке измените расписание.</ns0:t>
        </ns0:is>
      </ns0:c>
      <ns0:c r="C10" s="2" t="n"/>
      <ns0:c r="D10" s="2" t="n"/>
      <ns0:c r="E10" s="2" t="n"/>
    </ns0:row>
  </ns0:sheetData>
  <ns0:autoFilter ref="A1:E10"/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xl/worksheets/sheet5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E6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7" customWidth="1" min="1" max="1"/>
    <ns0:col width="22" customWidth="1" min="2" max="2"/>
    <ns0:col width="22" customWidth="1" min="3" max="3"/>
    <ns0:col width="22" customWidth="1" min="4" max="4"/>
    <ns0:col width="22" customWidth="1" min="5" max="5"/>
  </ns0:cols>
  <ns0:sheetData>
    <ns0:row r="1">
      <ns0:c r="A1" s="1" t="inlineStr">
        <ns0:is>
          <ns0:t>Месяц</ns0:t>
        </ns0:is>
      </ns0:c>
      <ns0:c r="B1" s="1" t="inlineStr">
        <ns0:is>
          <ns0:t>Поток до финансирования</ns0:t>
        </ns0:is>
      </ns0:c>
      <ns0:c r="C1" s="1" t="inlineStr">
        <ns0:is>
          <ns0:t>Остаток без кредита</ns0:t>
        </ns0:is>
      </ns0:c>
      <ns0:c r="D1" s="1" t="inlineStr">
        <ns0:is>
          <ns0:t>Потребность до резерва</ns0:t>
        </ns0:is>
      </ns0:c>
      <ns0:c r="E1" s="1" t="inlineStr">
        <ns0:is>
          <ns0:t>Пояснение</ns0:t>
        </ns0:is>
      </ns0:c>
    </ns0:row>
    <ns0:row r="2">
      <ns0:c r="A2" s="2" t="inlineStr">
        <ns0:is>
          <ns0:t>Начало</ns0:t>
        </ns0:is>
      </ns0:c>
      <ns0:c r="B2" s="3" t="n">
        <ns0:v>0</ns0:v>
      </ns0:c>
      <ns0:c r="C2" s="5">
        <ns0:f>'Параметры'!B11</ns0:f>
        <ns0:v>100000</ns0:v>
      </ns0:c>
      <ns0:c r="D2" s="5">
        <ns0:f>MAX(0,'Параметры'!B12-C2)</ns0:f>
        <ns0:v>0</ns0:v>
      </ns0:c>
      <ns0:c r="E2" s="2" t="inlineStr">
        <ns0:is>
          <ns0:t>Глава 19; проценты не включены</ns0:t>
        </ns0:is>
      </ns0:c>
    </ns0:row>
    <ns0:row r="3">
      <ns0:c r="A3" s="2" t="inlineStr">
        <ns0:is>
          <ns0:t>Январь</ns0:t>
        </ns0:is>
      </ns0:c>
      <ns0:c r="B3" s="3" t="n">
        <ns0:v>-80000</ns0:v>
      </ns0:c>
      <ns0:c r="C3" s="5">
        <ns0:f>C2+B3</ns0:f>
        <ns0:v>20000</ns0:v>
      </ns0:c>
      <ns0:c r="D3" s="5">
        <ns0:f>MAX(0,'Параметры'!B12-C3)</ns0:f>
        <ns0:v>0</ns0:v>
      </ns0:c>
      <ns0:c r="E3" s="2" t="n"/>
    </ns0:row>
    <ns0:row r="4">
      <ns0:c r="A4" s="2" t="inlineStr">
        <ns0:is>
          <ns0:t>Февраль</ns0:t>
        </ns0:is>
      </ns0:c>
      <ns0:c r="B4" s="3" t="n">
        <ns0:v>-70000</ns0:v>
      </ns0:c>
      <ns0:c r="C4" s="5">
        <ns0:f>C3+B4</ns0:f>
        <ns0:v>-50000</ns0:v>
      </ns0:c>
      <ns0:c r="D4" s="5">
        <ns0:f>MAX(0,'Параметры'!B12-C4)</ns0:f>
        <ns0:v>70000</ns0:v>
      </ns0:c>
      <ns0:c r="E4" s="2" t="n"/>
    </ns0:row>
    <ns0:row r="5">
      <ns0:c r="A5" s="2" t="inlineStr">
        <ns0:is>
          <ns0:t>Март</ns0:t>
        </ns0:is>
      </ns0:c>
      <ns0:c r="B5" s="3" t="n">
        <ns0:v>200000</ns0:v>
      </ns0:c>
      <ns0:c r="C5" s="5">
        <ns0:f>C4+B5</ns0:f>
        <ns0:v>150000</ns0:v>
      </ns0:c>
      <ns0:c r="D5" s="5">
        <ns0:f>MAX(0,'Параметры'!B12-C5)</ns0:f>
        <ns0:v>0</ns0:v>
      </ns0:c>
      <ns0:c r="E5" s="2" t="n"/>
    </ns0:row>
    <ns0:row r="6">
      <ns0:c r="A6" s="2" t="inlineStr">
        <ns0:is>
          <ns0:t>Пик линии</ns0:t>
        </ns0:is>
      </ns0:c>
      <ns0:c r="B6" s="5">
        <ns0:f>MAX(D2:D5)</ns0:f>
        <ns0:v>70000</ns0:v>
      </ns0:c>
      <ns0:c r="C6" s="2" t="n"/>
      <ns0:c r="D6" s="2" t="n"/>
      <ns0:c r="E6" s="2" t="inlineStr">
        <ns0:is>
          <ns0:t>Потребность, а не дополнительное привлечение каждый месяц</ns0:t>
        </ns0:is>
      </ns0:c>
    </ns0:row>
  </ns0:sheetData>
  <ns0:autoFilter ref="A1:E6"/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xl/worksheets/sheet6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C13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7" customWidth="1" min="1" max="1"/>
    <ns0:col width="22" customWidth="1" min="2" max="2"/>
    <ns0:col width="22" customWidth="1" min="3" max="3"/>
  </ns0:cols>
  <ns0:sheetData>
    <ns0:row r="1">
      <ns0:c r="A1" s="1" t="inlineStr">
        <ns0:is>
          <ns0:t>Показатель</ns0:t>
        </ns0:is>
      </ns0:c>
      <ns0:c r="B1" s="1" t="inlineStr">
        <ns0:is>
          <ns0:t>Значение</ns0:t>
        </ns0:is>
      </ns0:c>
      <ns0:c r="C1" s="1" t="inlineStr">
        <ns0:is>
          <ns0:t>Единица / пояснение</ns0:t>
        </ns0:is>
      </ns0:c>
    </ns0:row>
    <ns0:row r="2">
      <ns0:c r="A2" s="2" t="inlineStr">
        <ns0:is>
          <ns0:t>a спроса</ns0:t>
        </ns0:is>
      </ns0:c>
      <ns0:c r="B2" s="3" t="n">
        <ns0:v>100</ns0:v>
      </ns0:c>
      <ns0:c r="C2" s="2" t="inlineStr">
        <ns0:is>
          <ns0:t>Q=a-bP</ns0:t>
        </ns0:is>
      </ns0:c>
    </ns0:row>
    <ns0:row r="3">
      <ns0:c r="A3" s="2" t="inlineStr">
        <ns0:is>
          <ns0:t>b спроса</ns0:t>
        </ns0:is>
      </ns0:c>
      <ns0:c r="B3" s="3" t="n">
        <ns0:v>2</ns0:v>
      </ns0:c>
      <ns0:c r="C3" s="2" t="n"/>
    </ns0:row>
    <ns0:row r="4">
      <ns0:c r="A4" s="2" t="inlineStr">
        <ns0:is>
          <ns0:t>c предложения</ns0:t>
        </ns0:is>
      </ns0:c>
      <ns0:c r="B4" s="3" t="n">
        <ns0:v>20</ns0:v>
      </ns0:c>
      <ns0:c r="C4" s="2" t="inlineStr">
        <ns0:is>
          <ns0:t>Q=c+dP</ns0:t>
        </ns0:is>
      </ns0:c>
    </ns0:row>
    <ns0:row r="5">
      <ns0:c r="A5" s="2" t="inlineStr">
        <ns0:is>
          <ns0:t>d предложения</ns0:t>
        </ns0:is>
      </ns0:c>
      <ns0:c r="B5" s="3" t="n">
        <ns0:v>2</ns0:v>
      </ns0:c>
      <ns0:c r="C5" s="2" t="n"/>
    </ns0:row>
    <ns0:row r="6">
      <ns0:c r="A6" s="2" t="inlineStr">
        <ns0:is>
          <ns0:t>Налог</ns0:t>
        </ns0:is>
      </ns0:c>
      <ns0:c r="B6" s="3" t="n">
        <ns0:v>10</ns0:v>
      </ns0:c>
      <ns0:c r="C6" s="2" t="inlineStr">
        <ns0:is>
          <ns0:t>денег/единицу</ns0:t>
        </ns0:is>
      </ns0:c>
    </ns0:row>
    <ns0:row r="7">
      <ns0:c r="A7" s="2" t="inlineStr">
        <ns0:is>
          <ns0:t>Цена без налога</ns0:t>
        </ns0:is>
      </ns0:c>
      <ns0:c r="B7" s="5">
        <ns0:f>(B2-B4)/(B3+B5)</ns0:f>
        <ns0:v>20.0</ns0:v>
      </ns0:c>
      <ns0:c r="C7" s="2" t="n"/>
    </ns0:row>
    <ns0:row r="8">
      <ns0:c r="A8" s="2" t="inlineStr">
        <ns0:is>
          <ns0:t>Объём без налога</ns0:t>
        </ns0:is>
      </ns0:c>
      <ns0:c r="B8" s="5">
        <ns0:f>B2-B3*B7</ns0:f>
        <ns0:v>60.0</ns0:v>
      </ns0:c>
      <ns0:c r="C8" s="2" t="n"/>
    </ns0:row>
    <ns0:row r="9">
      <ns0:c r="A9" s="2" t="inlineStr">
        <ns0:is>
          <ns0:t>Цена покупателя с налогом</ns0:t>
        </ns0:is>
      </ns0:c>
      <ns0:c r="B9" s="5">
        <ns0:f>(B2-B4+B5*B6)/(B3+B5)</ns0:f>
        <ns0:v>25.0</ns0:v>
      </ns0:c>
      <ns0:c r="C9" s="2" t="n"/>
    </ns0:row>
    <ns0:row r="10">
      <ns0:c r="A10" s="2" t="inlineStr">
        <ns0:is>
          <ns0:t>Цена продавца</ns0:t>
        </ns0:is>
      </ns0:c>
      <ns0:c r="B10" s="5">
        <ns0:f>B9-B6</ns0:f>
        <ns0:v>15.0</ns0:v>
      </ns0:c>
      <ns0:c r="C10" s="2" t="n"/>
    </ns0:row>
    <ns0:row r="11">
      <ns0:c r="A11" s="2" t="inlineStr">
        <ns0:is>
          <ns0:t>Объём с налогом</ns0:t>
        </ns0:is>
      </ns0:c>
      <ns0:c r="B11" s="5">
        <ns0:f>B2-B3*B9</ns0:f>
        <ns0:v>50.0</ns0:v>
      </ns0:c>
      <ns0:c r="C11" s="2" t="n"/>
    </ns0:row>
    <ns0:row r="12">
      <ns0:c r="A12" s="2" t="inlineStr">
        <ns0:is>
          <ns0:t>Доход бюджета</ns0:t>
        </ns0:is>
      </ns0:c>
      <ns0:c r="B12" s="5">
        <ns0:f>B6*B11</ns0:f>
        <ns0:v>500.0</ns0:v>
      </ns0:c>
      <ns0:c r="C12" s="2" t="n"/>
    </ns0:row>
    <ns0:row r="13">
      <ns0:c r="A13" s="2" t="inlineStr">
        <ns0:is>
          <ns0:t>Потеря излишка</ns0:t>
        </ns0:is>
      </ns0:c>
      <ns0:c r="B13" s="5">
        <ns0:f>0.5*B6*(B8-B11)</ns0:f>
        <ns0:v>50.0</ns0:v>
      </ns0:c>
      <ns0:c r="C13" s="2" t="inlineStr">
        <ns0:is>
          <ns0:t>Конкуренция; нет внешних эффектов</ns0:t>
        </ns0:is>
      </ns0:c>
    </ns0:row>
  </ns0:sheetData>
  <ns0:autoFilter ref="A1:C13"/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xl/worksheets/sheet7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C14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7" customWidth="1" min="1" max="1"/>
    <ns0:col width="22" customWidth="1" min="2" max="2"/>
    <ns0:col width="22" customWidth="1" min="3" max="3"/>
  </ns0:cols>
  <ns0:sheetData>
    <ns0:row r="1">
      <ns0:c r="A1" s="1" t="inlineStr">
        <ns0:is>
          <ns0:t>Показатель</ns0:t>
        </ns0:is>
      </ns0:c>
      <ns0:c r="B1" s="1" t="inlineStr">
        <ns0:is>
          <ns0:t>Значение</ns0:t>
        </ns0:is>
      </ns0:c>
      <ns0:c r="C1" s="1" t="inlineStr">
        <ns0:is>
          <ns0:t>Единица / пояснение</ns0:t>
        </ns0:is>
      </ns0:c>
    </ns0:row>
    <ns0:row r="2">
      <ns0:c r="A2" s="2" t="inlineStr">
        <ns0:is>
          <ns0:t>Земля</ns0:t>
        </ns0:is>
      </ns0:c>
      <ns0:c r="B2" s="5">
        <ns0:f>'Параметры'!B13</ns0:f>
        <ns0:v>100</ns0:v>
      </ns0:c>
      <ns0:c r="C2" s="2" t="inlineStr">
        <ns0:is>
          <ns0:t>га</ns0:t>
        </ns0:is>
      </ns0:c>
    </ns0:row>
    <ns0:row r="3">
      <ns0:c r="A3" s="2" t="inlineStr">
        <ns0:is>
          <ns0:t>Вода</ns0:t>
        </ns0:is>
      </ns0:c>
      <ns0:c r="B3" s="5">
        <ns0:f>'Параметры'!B14</ns0:f>
        <ns0:v>300</ns0:v>
      </ns0:c>
      <ns0:c r="C3" s="2" t="inlineStr">
        <ns0:is>
          <ns0:t>условные единицы</ns0:t>
        </ns0:is>
      </ns0:c>
    </ns0:row>
    <ns0:row r="4">
      <ns0:c r="A4" s="2" t="inlineStr">
        <ns0:is>
          <ns0:t>Вода хлопок</ns0:t>
        </ns0:is>
      </ns0:c>
      <ns0:c r="B4" s="3" t="n">
        <ns0:v>5</ns0:v>
      </ns0:c>
      <ns0:c r="C4" s="2" t="inlineStr">
        <ns0:is>
          <ns0:t>на га</ns0:t>
        </ns0:is>
      </ns0:c>
    </ns0:row>
    <ns0:row r="5">
      <ns0:c r="A5" s="2" t="inlineStr">
        <ns0:is>
          <ns0:t>Вода пшеница</ns0:t>
        </ns0:is>
      </ns0:c>
      <ns0:c r="B5" s="3" t="n">
        <ns0:v>2</ns0:v>
      </ns0:c>
      <ns0:c r="C5" s="2" t="inlineStr">
        <ns0:is>
          <ns0:t>на га</ns0:t>
        </ns0:is>
      </ns0:c>
    </ns0:row>
    <ns0:row r="6">
      <ns0:c r="A6" s="2" t="inlineStr">
        <ns0:is>
          <ns0:t>Маржа хлопка</ns0:t>
        </ns0:is>
      </ns0:c>
      <ns0:c r="B6" s="3" t="n">
        <ns0:v>5000</ns0:v>
      </ns0:c>
      <ns0:c r="C6" s="2" t="inlineStr">
        <ns0:is>
          <ns0:t>сомони/га</ns0:t>
        </ns0:is>
      </ns0:c>
    </ns0:row>
    <ns0:row r="7">
      <ns0:c r="A7" s="2" t="inlineStr">
        <ns0:is>
          <ns0:t>Маржа пшеницы</ns0:t>
        </ns0:is>
      </ns0:c>
      <ns0:c r="B7" s="3" t="n">
        <ns0:v>4000</ns0:v>
      </ns0:c>
      <ns0:c r="C7" s="2" t="inlineStr">
        <ns0:is>
          <ns0:t>сомони/га</ns0:t>
        </ns0:is>
      </ns0:c>
    </ns0:row>
    <ns0:row r="8">
      <ns0:c r="A8" s="2" t="inlineStr">
        <ns0:is>
          <ns0:t>Хлопок в пересечении</ns0:t>
        </ns0:is>
      </ns0:c>
      <ns0:c r="B8" s="5">
        <ns0:f>(B3-B5*B2)/(B4-B5)</ns0:f>
        <ns0:v>33.333333333333336</ns0:v>
      </ns0:c>
      <ns0:c r="C8" s="2" t="inlineStr">
        <ns0:is>
          <ns0:t>га; только если оба ограничения активны</ns0:t>
        </ns0:is>
      </ns0:c>
    </ns0:row>
    <ns0:row r="9">
      <ns0:c r="A9" s="2" t="inlineStr">
        <ns0:is>
          <ns0:t>Пшеница</ns0:t>
        </ns0:is>
      </ns0:c>
      <ns0:c r="B9" s="5">
        <ns0:f>B2-B8</ns0:f>
        <ns0:v>66.66666666666666</ns0:v>
      </ns0:c>
      <ns0:c r="C9" s="2" t="inlineStr">
        <ns0:is>
          <ns0:t>га</ns0:t>
        </ns0:is>
      </ns0:c>
    </ns0:row>
    <ns0:row r="10">
      <ns0:c r="A10" s="2" t="inlineStr">
        <ns0:is>
          <ns0:t>Маржа</ns0:t>
        </ns0:is>
      </ns0:c>
      <ns0:c r="B10" s="5">
        <ns0:f>B8*B6+B9*B7</ns0:f>
        <ns0:v>433333.3333333333</ns0:v>
      </ns0:c>
      <ns0:c r="C10" s="2" t="inlineStr">
        <ns0:is>
          <ns0:t>сомони</ns0:t>
        </ns0:is>
      </ns0:c>
    </ns0:row>
    <ns0:row r="11">
      <ns0:c r="A11" s="2" t="inlineStr">
        <ns0:is>
          <ns0:t>Теневая цена воды</ns0:t>
        </ns0:is>
      </ns0:c>
      <ns0:c r="B11" s="5">
        <ns0:f>(B6-B7)/(B4-B5)</ns0:f>
        <ns0:v>333.3333333333333</ns0:v>
      </ns0:c>
      <ns0:c r="C11" s="2" t="inlineStr">
        <ns0:is>
          <ns0:t>сомони/единицу, локально</ns0:t>
        </ns0:is>
      </ns0:c>
    </ns0:row>
    <ns0:row r="12">
      <ns0:c r="A12" s="2" t="inlineStr">
        <ns0:is>
          <ns0:t>Теневая цена земли</ns0:t>
        </ns0:is>
      </ns0:c>
      <ns0:c r="B12" s="5">
        <ns0:f>B7-B5*B11</ns0:f>
        <ns0:v>3333.3333333333335</ns0:v>
      </ns0:c>
      <ns0:c r="C12" s="2" t="inlineStr">
        <ns0:is>
          <ns0:t>сомони/га, локально</ns0:t>
        </ns0:is>
      </ns0:c>
    </ns0:row>
    <ns0:row r="13">
      <ns0:c r="A13" s="2" t="inlineStr">
        <ns0:is>
          <ns0:t>Проверка допустимости</ns0:t>
        </ns0:is>
      </ns0:c>
      <ns0:c r="B13" s="5" t="str">
        <ns0:f>IF(B8&lt;0,"ВНЕ ДИАПАЗОНА",IF(B9&lt;0,"ВНЕ ДИАПАЗОНА","ДОПУСТИМО"))</ns0:f>
        <ns0:v>ДОПУСТИМО</ns0:v>
      </ns0:c>
      <ns0:c r="C13" s="2" t="inlineStr">
        <ns0:is>
          <ns0:t>Если вне диапазона, проверьте граничные планы</ns0:t>
        </ns0:is>
      </ns0:c>
    </ns0:row>
    <ns0:row r="14">
      <ns0:c r="A14" s="2" t="inlineStr">
        <ns0:is>
          <ns0:t>Предупреждение</ns0:t>
        </ns0:is>
      </ns0:c>
      <ns0:c r="B14" s="2" t="inlineStr">
        <ns0:is>
          <ns0:t>Это формула исходного активного набора, не универсальный LP-решатель.</ns0:t>
        </ns0:is>
      </ns0:c>
      <ns0:c r="C14" s="2" t="n"/>
    </ns0:row>
  </ns0:sheetData>
  <ns0:autoFilter ref="A1:C14"/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xl/worksheets/sheet8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C14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7" customWidth="1" min="1" max="1"/>
    <ns0:col width="22" customWidth="1" min="2" max="2"/>
    <ns0:col width="22" customWidth="1" min="3" max="3"/>
  </ns0:cols>
  <ns0:sheetData>
    <ns0:row r="1">
      <ns0:c r="A1" s="1" t="inlineStr">
        <ns0:is>
          <ns0:t>Показатель</ns0:t>
        </ns0:is>
      </ns0:c>
      <ns0:c r="B1" s="1" t="inlineStr">
        <ns0:is>
          <ns0:t>Значение</ns0:t>
        </ns0:is>
      </ns0:c>
      <ns0:c r="C1" s="1" t="inlineStr">
        <ns0:is>
          <ns0:t>Единица / пояснение</ns0:t>
        </ns0:is>
      </ns0:c>
    </ns0:row>
    <ns0:row r="2">
      <ns0:c r="A2" s="2" t="inlineStr">
        <ns0:is>
          <ns0:t>Фактический вес</ns0:t>
        </ns0:is>
      </ns0:c>
      <ns0:c r="B2" s="3" t="n">
        <ns0:v>10000</ns0:v>
      </ns0:c>
      <ns0:c r="C2" s="2" t="inlineStr">
        <ns0:is>
          <ns0:t>кг нетто</ns0:t>
        </ns0:is>
      </ns0:c>
    </ns0:row>
    <ns0:row r="3">
      <ns0:c r="A3" s="2" t="inlineStr">
        <ns0:is>
          <ns0:t>Влажность факт</ns0:t>
        </ns0:is>
      </ns0:c>
      <ns0:c r="B3" s="3" t="n">
        <ns0:v>0.18</ns0:v>
      </ns0:c>
      <ns0:c r="C3" s="2" t="inlineStr">
        <ns0:is>
          <ns0:t>доля</ns0:t>
        </ns0:is>
      </ns0:c>
    </ns0:row>
    <ns0:row r="4">
      <ns0:c r="A4" s="2" t="inlineStr">
        <ns0:is>
          <ns0:t>Влажность стандарт</ns0:t>
        </ns0:is>
      </ns0:c>
      <ns0:c r="B4" s="3" t="n">
        <ns0:v>0.14</ns0:v>
      </ns0:c>
      <ns0:c r="C4" s="2" t="inlineStr">
        <ns0:is>
          <ns0:t>доля</ns0:t>
        </ns0:is>
      </ns0:c>
    </ns0:row>
    <ns0:row r="5">
      <ns0:c r="A5" s="2" t="inlineStr">
        <ns0:is>
          <ns0:t>Сухое вещество</ns0:t>
        </ns0:is>
      </ns0:c>
      <ns0:c r="B5" s="5">
        <ns0:f>B2*(1-B3)</ns0:f>
        <ns0:v>8200.0</ns0:v>
      </ns0:c>
      <ns0:c r="C5" s="2" t="inlineStr">
        <ns0:is>
          <ns0:t>кг</ns0:t>
        </ns0:is>
      </ns0:c>
    </ns0:row>
    <ns0:row r="6">
      <ns0:c r="A6" s="2" t="inlineStr">
        <ns0:is>
          <ns0:t>Стандартный вес</ns0:t>
        </ns0:is>
      </ns0:c>
      <ns0:c r="B6" s="5">
        <ns0:f>B5/(1-B4)</ns0:f>
        <ns0:v>9534.883720930233</ns0:v>
      </ns0:c>
      <ns0:c r="C6" s="2" t="inlineStr">
        <ns0:is>
          <ns0:t>кг; простая модель сохранения сухого вещества</ns0:t>
        </ns0:is>
      </ns0:c>
    </ns0:row>
    <ns0:row r="7">
      <ns0:c r="A7" s="2" t="inlineStr">
        <ns0:is>
          <ns0:t>Изменение веса</ns0:t>
        </ns0:is>
      </ns0:c>
      <ns0:c r="B7" s="5">
        <ns0:f>B2-B6</ns0:f>
        <ns0:v>465.1162790697672</ns0:v>
      </ns0:c>
      <ns0:c r="C7" s="2" t="inlineStr">
        <ns0:is>
          <ns0:t>кг воды; не автоматическая недостача</ns0:t>
        </ns0:is>
      </ns0:c>
    </ns0:row>
    <ns0:row r="8">
      <ns0:c r="A8" s="2" t="inlineStr">
        <ns0:is>
          <ns0:t>Остаток начало</ns0:t>
        </ns0:is>
      </ns0:c>
      <ns0:c r="B8" s="3" t="n">
        <ns0:v>20</ns0:v>
      </ns0:c>
      <ns0:c r="C8" s="2" t="inlineStr">
        <ns0:is>
          <ns0:t>тонны</ns0:t>
        </ns0:is>
      </ns0:c>
    </ns0:row>
    <ns0:row r="9">
      <ns0:c r="A9" s="2" t="inlineStr">
        <ns0:is>
          <ns0:t>Приход</ns0:t>
        </ns0:is>
      </ns0:c>
      <ns0:c r="B9" s="3" t="n">
        <ns0:v>80</ns0:v>
      </ns0:c>
      <ns0:c r="C9" s="2" t="inlineStr">
        <ns0:is>
          <ns0:t>тонны</ns0:t>
        </ns0:is>
      </ns0:c>
    </ns0:row>
    <ns0:row r="10">
      <ns0:c r="A10" s="2" t="inlineStr">
        <ns0:is>
          <ns0:t>Отгрузка</ns0:t>
        </ns0:is>
      </ns0:c>
      <ns0:c r="B10" s="3" t="n">
        <ns0:v>65</ns0:v>
      </ns0:c>
      <ns0:c r="C10" s="2" t="inlineStr">
        <ns0:is>
          <ns0:t>тонны</ns0:t>
        </ns0:is>
      </ns0:c>
    </ns0:row>
    <ns0:row r="11">
      <ns0:c r="A11" s="2" t="inlineStr">
        <ns0:is>
          <ns0:t>Подтверждённые потери</ns0:t>
        </ns0:is>
      </ns0:c>
      <ns0:c r="B11" s="3" t="n">
        <ns0:v>1</ns0:v>
      </ns0:c>
      <ns0:c r="C11" s="2" t="inlineStr">
        <ns0:is>
          <ns0:t>тонны</ns0:t>
        </ns0:is>
      </ns0:c>
    </ns0:row>
    <ns0:row r="12">
      <ns0:c r="A12" s="2" t="inlineStr">
        <ns0:is>
          <ns0:t>Остаток расчёт</ns0:t>
        </ns0:is>
      </ns0:c>
      <ns0:c r="B12" s="5">
        <ns0:f>B8+B9-B10-B11</ns0:f>
        <ns0:v>34</ns0:v>
      </ns0:c>
      <ns0:c r="C12" s="2" t="inlineStr">
        <ns0:is>
          <ns0:t>тонны</ns0:t>
        </ns0:is>
      </ns0:c>
    </ns0:row>
    <ns0:row r="13">
      <ns0:c r="A13" s="2" t="inlineStr">
        <ns0:is>
          <ns0:t>Остаток инвентаризации</ns0:t>
        </ns0:is>
      </ns0:c>
      <ns0:c r="B13" s="3" t="n">
        <ns0:v>32</ns0:v>
      </ns0:c>
      <ns0:c r="C13" s="2" t="inlineStr">
        <ns0:is>
          <ns0:t>тонны</ns0:t>
        </ns0:is>
      </ns0:c>
    </ns0:row>
    <ns0:row r="14">
      <ns0:c r="A14" s="2" t="inlineStr">
        <ns0:is>
          <ns0:t>Расхождение</ns0:t>
        </ns0:is>
      </ns0:c>
      <ns0:c r="B14" s="5">
        <ns0:f>B13-B12</ns0:f>
        <ns0:v>-2</ns0:v>
      </ns0:c>
      <ns0:c r="C14" s="2" t="inlineStr">
        <ns0:is>
          <ns0:t>тонны; требует проверки</ns0:t>
        </ns0:is>
      </ns0:c>
    </ns0:row>
  </ns0:sheetData>
  <ns0:autoFilter ref="A1:C14"/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xl/worksheets/sheet9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F7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7" customWidth="1" min="1" max="1"/>
    <ns0:col width="22" customWidth="1" min="2" max="2"/>
    <ns0:col width="22" customWidth="1" min="3" max="3"/>
    <ns0:col width="22" customWidth="1" min="4" max="4"/>
    <ns0:col width="22" customWidth="1" min="5" max="5"/>
    <ns0:col width="22" customWidth="1" min="6" max="6"/>
  </ns0:cols>
  <ns0:sheetData>
    <ns0:row r="1">
      <ns0:c r="A1" s="1" t="inlineStr">
        <ns0:is>
          <ns0:t>Сценарий</ns0:t>
        </ns0:is>
      </ns0:c>
      <ns0:c r="B1" s="1" t="inlineStr">
        <ns0:is>
          <ns0:t>Цена, сомони/кг</ns0:t>
        </ns0:is>
      </ns0:c>
      <ns0:c r="C1" s="1" t="inlineStr">
        <ns0:is>
          <ns0:t>Урожай, кг/га</ns0:t>
        </ns0:is>
      </ns0:c>
      <ns0:c r="D1" s="1" t="inlineStr">
        <ns0:is>
          <ns0:t>Сбор, сомони/кг</ns0:t>
        </ns0:is>
      </ns0:c>
      <ns0:c r="E1" s="1" t="inlineStr">
        <ns0:is>
          <ns0:t>До уборки, сомони/га</ns0:t>
        </ns0:is>
      </ns0:c>
      <ns0:c r="F1" s="1" t="inlineStr">
        <ns0:is>
          <ns0:t>Маржа, сомони/га</ns0:t>
        </ns0:is>
      </ns0:c>
    </ns0:row>
    <ns0:row r="2">
      <ns0:c r="A2" s="2" t="inlineStr">
        <ns0:is>
          <ns0:t>Базовый</ns0:t>
        </ns0:is>
      </ns0:c>
      <ns0:c r="B2" s="3" t="n">
        <ns0:v>6.5</ns0:v>
      </ns0:c>
      <ns0:c r="C2" s="3" t="n">
        <ns0:v>3000</ns0:v>
      </ns0:c>
      <ns0:c r="D2" s="3" t="n">
        <ns0:v>1.2</ns0:v>
      </ns0:c>
      <ns0:c r="E2" s="3" t="n">
        <ns0:v>14000</ns0:v>
      </ns0:c>
      <ns0:c r="F2" s="5">
        <ns0:f>(B2-D2)*C2-E2</ns0:f>
        <ns0:v>1900.0</ns0:v>
      </ns0:c>
    </ns0:row>
    <ns0:row r="3">
      <ns0:c r="A3" s="2" t="inlineStr">
        <ns0:is>
          <ns0:t>Низкая цена</ns0:t>
        </ns0:is>
      </ns0:c>
      <ns0:c r="B3" s="3" t="n">
        <ns0:v>6</ns0:v>
      </ns0:c>
      <ns0:c r="C3" s="3" t="n">
        <ns0:v>3000</ns0:v>
      </ns0:c>
      <ns0:c r="D3" s="3" t="n">
        <ns0:v>1.2</ns0:v>
      </ns0:c>
      <ns0:c r="E3" s="3" t="n">
        <ns0:v>14000</ns0:v>
      </ns0:c>
      <ns0:c r="F3" s="5">
        <ns0:f>(B3-D3)*C3-E3</ns0:f>
        <ns0:v>400.0</ns0:v>
      </ns0:c>
    </ns0:row>
    <ns0:row r="4">
      <ns0:c r="A4" s="2" t="inlineStr">
        <ns0:is>
          <ns0:t>Низкий урожай</ns0:t>
        </ns0:is>
      </ns0:c>
      <ns0:c r="B4" s="3" t="n">
        <ns0:v>6.5</ns0:v>
      </ns0:c>
      <ns0:c r="C4" s="3" t="n">
        <ns0:v>2000</ns0:v>
      </ns0:c>
      <ns0:c r="D4" s="3" t="n">
        <ns0:v>1.2</ns0:v>
      </ns0:c>
      <ns0:c r="E4" s="3" t="n">
        <ns0:v>14000</ns0:v>
      </ns0:c>
      <ns0:c r="F4" s="5">
        <ns0:f>(B4-D4)*C4-E4</ns0:f>
        <ns0:v>-3400.0</ns0:v>
      </ns0:c>
    </ns0:row>
    <ns0:row r="5">
      <ns0:c r="A5" s="2" t="inlineStr">
        <ns0:is>
          <ns0:t>Совместный отрицательный</ns0:t>
        </ns0:is>
      </ns0:c>
      <ns0:c r="B5" s="3" t="n">
        <ns0:v>5.5</ns0:v>
      </ns0:c>
      <ns0:c r="C5" s="3" t="n">
        <ns0:v>1800</ns0:v>
      </ns0:c>
      <ns0:c r="D5" s="3" t="n">
        <ns0:v>1.2</ns0:v>
      </ns0:c>
      <ns0:c r="E5" s="3" t="n">
        <ns0:v>14500</ns0:v>
      </ns0:c>
      <ns0:c r="F5" s="5">
        <ns0:f>(B5-D5)*C5-E5</ns0:f>
        <ns0:v>-6760.0</ns0:v>
      </ns0:c>
    </ns0:row>
    <ns0:row r="6">
      <ns0:c r="A6" s="2" t="inlineStr">
        <ns0:is>
          <ns0:t>Положительный</ns0:t>
        </ns0:is>
      </ns0:c>
      <ns0:c r="B6" s="3" t="n">
        <ns0:v>7</ns0:v>
      </ns0:c>
      <ns0:c r="C6" s="3" t="n">
        <ns0:v>3400</ns0:v>
      </ns0:c>
      <ns0:c r="D6" s="3" t="n">
        <ns0:v>1.2</ns0:v>
      </ns0:c>
      <ns0:c r="E6" s="3" t="n">
        <ns0:v>14000</ns0:v>
      </ns0:c>
      <ns0:c r="F6" s="5">
        <ns0:f>(B6-D6)*C6-E6</ns0:f>
        <ns0:v>5720.0</ns0:v>
      </ns0:c>
    </ns0:row>
    <ns0:row r="7">
      <ns0:c r="A7" s="2" t="inlineStr">
        <ns0:is>
          <ns0:t>Примечание</ns0:t>
        </ns0:is>
      </ns0:c>
      <ns0:c r="B7" s="2" t="inlineStr">
        <ns0:is>
          <ns0:t>Сценарии — заданные допущения; вероятности не оценены.</ns0:t>
        </ns0:is>
      </ns0:c>
      <ns0:c r="C7" s="2" t="n"/>
      <ns0:c r="D7" s="2" t="n"/>
      <ns0:c r="E7" s="2" t="n"/>
      <ns0:c r="F7" s="2" t="n"/>
    </ns0:row>
  </ns0:sheetData>
  <ns0:autoFilter ref="A1:F7"/>
  <ns0:conditionalFormatting sqref="F2:F6">
    <ns0:cfRule type="cellIs" priority="1" operator="lessThan" dxfId="0">
      <ns0:formula>0</ns0:formula>
    </ns0:cfRule>
  </ns0:conditionalFormatting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xl/worksheets/sheet10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C11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7" customWidth="1" min="1" max="1"/>
    <ns0:col width="22" customWidth="1" min="2" max="2"/>
    <ns0:col width="22" customWidth="1" min="3" max="3"/>
  </ns0:cols>
  <ns0:sheetData>
    <ns0:row r="1">
      <ns0:c r="A1" s="1" t="inlineStr">
        <ns0:is>
          <ns0:t>Показатель</ns0:t>
        </ns0:is>
      </ns0:c>
      <ns0:c r="B1" s="1" t="inlineStr">
        <ns0:is>
          <ns0:t>Значение</ns0:t>
        </ns0:is>
      </ns0:c>
      <ns0:c r="C1" s="1" t="inlineStr">
        <ns0:is>
          <ns0:t>Единица / пояснение</ns0:t>
        </ns0:is>
      </ns0:c>
    </ns0:row>
    <ns0:row r="2">
      <ns0:c r="A2" s="2" t="inlineStr">
        <ns0:is>
          <ns0:t>Объём уборки</ns0:t>
        </ns0:is>
      </ns0:c>
      <ns0:c r="B2" s="5">
        <ns0:f>'Параметры'!B16</ns0:f>
        <ns0:v>4050</ns0:v>
      </ns0:c>
      <ns0:c r="C2" s="2" t="inlineStr">
        <ns0:is>
          <ns0:t>тонны</ns0:t>
        </ns0:is>
      </ns0:c>
    </ns0:row>
    <ns0:row r="3">
      <ns0:c r="A3" s="2" t="inlineStr">
        <ns0:is>
          <ns0:t>Мощность</ns0:t>
        </ns0:is>
      </ns0:c>
      <ns0:c r="B3" s="5">
        <ns0:f>'Параметры'!B17</ns0:f>
        <ns0:v>1200</ns0:v>
      </ns0:c>
      <ns0:c r="C3" s="2" t="inlineStr">
        <ns0:is>
          <ns0:t>тонны/машину</ns0:t>
        </ns0:is>
      </ns0:c>
    </ns0:row>
    <ns0:row r="4">
      <ns0:c r="A4" s="2" t="inlineStr">
        <ns0:is>
          <ns0:t>Готовность</ns0:t>
        </ns0:is>
      </ns0:c>
      <ns0:c r="B4" s="5">
        <ns0:f>'Параметры'!B18</ns0:f>
        <ns0:v>0.8</ns0:v>
      </ns0:c>
      <ns0:c r="C4" s="2" t="inlineStr">
        <ns0:is>
          <ns0:t>доля</ns0:t>
        </ns0:is>
      </ns0:c>
    </ns0:row>
    <ns0:row r="5">
      <ns0:c r="A5" s="2" t="inlineStr">
        <ns0:is>
          <ns0:t>Расчётная потребность без резерва</ns0:t>
        </ns0:is>
      </ns0:c>
      <ns0:c r="B5" s="5">
        <ns0:f>B2/B3</ns0:f>
        <ns0:v>3.375</ns0:v>
      </ns0:c>
      <ns0:c r="C5" s="2" t="inlineStr">
        <ns0:is>
          <ns0:t>нецелое значение мощности</ns0:t>
        </ns0:is>
      </ns0:c>
    </ns0:row>
    <ns0:row r="6">
      <ns0:c r="A6" s="2" t="inlineStr">
        <ns0:is>
          <ns0:t>Целые машины исходный сценарий</ns0:t>
        </ns0:is>
      </ns0:c>
      <ns0:c r="B6" s="5">
        <ns0:f>ROUNDUP(B5,0)</ns0:f>
        <ns0:v>4.0</ns0:v>
      </ns0:c>
      <ns0:c r="C6" s="2" t="inlineStr">
        <ns0:is>
          <ns0:t>Целое число машин; формула ROUNDUP</ns0:t>
        </ns0:is>
      </ns0:c>
    </ns0:row>
    <ns0:row r="7">
      <ns0:c r="A7" s="2" t="inlineStr">
        <ns0:is>
          <ns0:t>CAPEX</ns0:t>
        </ns0:is>
      </ns0:c>
      <ns0:c r="B7" s="5">
        <ns0:f>B6*'Параметры'!B15</ns0:f>
        <ns0:v>3300000.0</ns0:v>
      </ns0:c>
      <ns0:c r="C7" s="2" t="inlineStr">
        <ns0:is>
          <ns0:t>сомони</ns0:t>
        </ns0:is>
      </ns0:c>
    </ns0:row>
    <ns0:row r="8">
      <ns0:c r="A8" s="2" t="inlineStr">
        <ns0:is>
          <ns0:t>Эффективная мощность</ns0:t>
        </ns0:is>
      </ns0:c>
      <ns0:c r="B8" s="5">
        <ns0:f>B3*B4</ns0:f>
        <ns0:v>960.0</ns0:v>
      </ns0:c>
      <ns0:c r="C8" s="2" t="inlineStr">
        <ns0:is>
          <ns0:t>тонны/машину</ns0:t>
        </ns0:is>
      </ns0:c>
    </ns0:row>
    <ns0:row r="9">
      <ns0:c r="A9" s="2" t="inlineStr">
        <ns0:is>
          <ns0:t>Потребность с готовностью</ns0:t>
        </ns0:is>
      </ns0:c>
      <ns0:c r="B9" s="5">
        <ns0:f>B2/B8</ns0:f>
        <ns0:v>4.21875</ns0:v>
      </ns0:c>
      <ns0:c r="C9" s="2" t="inlineStr">
        <ns0:is>
          <ns0:t>нецелое значение мощности</ns0:t>
        </ns0:is>
      </ns0:c>
    </ns0:row>
    <ns0:row r="10">
      <ns0:c r="A10" s="2" t="inlineStr">
        <ns0:is>
          <ns0:t>Целые машины с готовностью</ns0:t>
        </ns0:is>
      </ns0:c>
      <ns0:c r="B10" s="5">
        <ns0:f>ROUNDUP(B9,0)</ns0:f>
        <ns0:v>5.0</ns0:v>
      </ns0:c>
      <ns0:c r="C10" s="2" t="inlineStr">
        <ns0:is>
          <ns0:t>Целое число машин; формула ROUNDUP</ns0:t>
        </ns0:is>
      </ns0:c>
    </ns0:row>
    <ns0:row r="11">
      <ns0:c r="A11" s="2" t="inlineStr">
        <ns0:is>
          <ns0:t>CAPEX с готовностью</ns0:t>
        </ns0:is>
      </ns0:c>
      <ns0:c r="B11" s="5">
        <ns0:f>B10*'Параметры'!B15</ns0:f>
        <ns0:v>4125000.0</ns0:v>
      </ns0:c>
      <ns0:c r="C11" s="2" t="inlineStr">
        <ns0:is>
          <ns0:t>сомони</ns0:t>
        </ns0:is>
      </ns0:c>
    </ns0:row>
  </ns0:sheetData>
  <ns0:autoFilter ref="A1:C11"/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xl/worksheets/sheet11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I6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7" customWidth="1" min="1" max="1"/>
    <ns0:col width="22" customWidth="1" min="2" max="2"/>
    <ns0:col width="22" customWidth="1" min="3" max="3"/>
    <ns0:col width="22" customWidth="1" min="4" max="4"/>
    <ns0:col width="22" customWidth="1" min="5" max="5"/>
    <ns0:col width="22" customWidth="1" min="6" max="6"/>
    <ns0:col width="22" customWidth="1" min="7" max="7"/>
    <ns0:col width="22" customWidth="1" min="8" max="8"/>
    <ns0:col width="22" customWidth="1" min="9" max="9"/>
  </ns0:cols>
  <ns0:sheetData>
    <ns0:row r="1">
      <ns0:c r="A1" s="1" t="inlineStr">
        <ns0:is>
          <ns0:t>Event ID</ns0:t>
        </ns0:is>
      </ns0:c>
      <ns0:c r="B1" s="1" t="inlineStr">
        <ns0:is>
          <ns0:t>Дата</ns0:t>
        </ns0:is>
      </ns0:c>
      <ns0:c r="C1" s="1" t="inlineStr">
        <ns0:is>
          <ns0:t>Исполнитель код</ns0:t>
        </ns0:is>
      </ns0:c>
      <ns0:c r="D1" s="1" t="inlineStr">
        <ns0:is>
          <ns0:t>Поле код</ns0:t>
        </ns0:is>
      </ns0:c>
      <ns0:c r="E1" s="1" t="inlineStr">
        <ns0:is>
          <ns0:t>Работа код</ns0:t>
        </ns0:is>
      </ns0:c>
      <ns0:c r="F1" s="1" t="inlineStr">
        <ns0:is>
          <ns0:t>Объём, га</ns0:t>
        </ns0:is>
      </ns0:c>
      <ns0:c r="G1" s="1" t="inlineStr">
        <ns0:is>
          <ns0:t>Тариф, сомони/га</ns0:t>
        </ns0:is>
      </ns0:c>
      <ns0:c r="H1" s="1" t="inlineStr">
        <ns0:is>
          <ns0:t>Начисление</ns0:t>
        </ns0:is>
      </ns0:c>
      <ns0:c r="I1" s="1" t="inlineStr">
        <ns0:is>
          <ns0:t>Статус</ns0:t>
        </ns0:is>
      </ns0:c>
    </ns0:row>
    <ns0:row r="2">
      <ns0:c r="A2" s="2" t="inlineStr">
        <ns0:is>
          <ns0:t>E-001</ns0:t>
        </ns0:is>
      </ns0:c>
      <ns0:c r="B2" s="2" t="inlineStr">
        <ns0:is>
          <ns0:t>2026-01-15</ns0:t>
        </ns0:is>
      </ns0:c>
      <ns0:c r="C2" s="2" t="inlineStr">
        <ns0:is>
          <ns0:t>P-001</ns0:t>
        </ns0:is>
      </ns0:c>
      <ns0:c r="D2" s="2" t="inlineStr">
        <ns0:is>
          <ns0:t>F-001</ns0:t>
        </ns0:is>
      </ns0:c>
      <ns0:c r="E2" s="2" t="inlineStr">
        <ns0:is>
          <ns0:t>W01</ns0:t>
        </ns0:is>
      </ns0:c>
      <ns0:c r="F2" s="3" t="n">
        <ns0:v>2.5</ns0:v>
      </ns0:c>
      <ns0:c r="G2" s="3" t="n">
        <ns0:v>100.52</ns0:v>
      </ns0:c>
      <ns0:c r="H2" s="5">
        <ns0:f>F2*G2</ns0:f>
        <ns0:v>251.29999999999998</ns0:v>
      </ns0:c>
      <ns0:c r="I2" s="2" t="inlineStr">
        <ns0:is>
          <ns0:t>Учебный акт; подтверждение требуется</ns0:t>
        </ns0:is>
      </ns0:c>
    </ns0:row>
    <ns0:row r="3">
      <ns0:c r="A3" s="2" t="inlineStr">
        <ns0:is>
          <ns0:t>E-002</ns0:t>
        </ns0:is>
      </ns0:c>
      <ns0:c r="B3" s="2" t="inlineStr">
        <ns0:is>
          <ns0:t>2026-02-15</ns0:t>
        </ns0:is>
      </ns0:c>
      <ns0:c r="C3" s="2" t="inlineStr">
        <ns0:is>
          <ns0:t>P-001</ns0:t>
        </ns0:is>
      </ns0:c>
      <ns0:c r="D3" s="2" t="inlineStr">
        <ns0:is>
          <ns0:t>F-001</ns0:t>
        </ns0:is>
      </ns0:c>
      <ns0:c r="E3" s="2" t="inlineStr">
        <ns0:is>
          <ns0:t>W01</ns0:t>
        </ns0:is>
      </ns0:c>
      <ns0:c r="F3" s="3" t="n">
        <ns0:v>2.5</ns0:v>
      </ns0:c>
      <ns0:c r="G3" s="3" t="n">
        <ns0:v>100.52</ns0:v>
      </ns0:c>
      <ns0:c r="H3" s="5">
        <ns0:f>F3*G3</ns0:f>
        <ns0:v>251.29999999999998</ns0:v>
      </ns0:c>
      <ns0:c r="I3" s="2" t="inlineStr">
        <ns0:is>
          <ns0:t>Самостоятельный новый акт, не дубль E-001</ns0:t>
        </ns0:is>
      </ns0:c>
    </ns0:row>
    <ns0:row r="4">
      <ns0:c r="A4" s="2" t="inlineStr">
        <ns0:is>
          <ns0:t>Итого</ns0:t>
        </ns0:is>
      </ns0:c>
      <ns0:c r="B4" s="2" t="n"/>
      <ns0:c r="C4" s="2" t="n"/>
      <ns0:c r="D4" s="2" t="n"/>
      <ns0:c r="E4" s="2" t="n"/>
      <ns0:c r="F4" s="2" t="n"/>
      <ns0:c r="G4" s="2" t="n"/>
      <ns0:c r="H4" s="5">
        <ns0:f>SUM(H2:H3)</ns0:f>
        <ns0:v>502.59999999999997</ns0:v>
      </ns0:c>
      <ns0:c r="I4" s="2" t="n"/>
    </ns0:row>
    <ns0:row r="5">
      <ns0:c r="A5" s="2" t="inlineStr">
        <ns0:is>
          <ns0:t>Примечание</ns0:t>
        </ns0:is>
      </ns0:c>
      <ns0:c r="B5" s="2" t="inlineStr">
        <ns0:is>
          <ns0:t>В production тариф выбирают по коду и дате; поля защищают правами доступа.</ns0:t>
        </ns0:is>
      </ns0:c>
      <ns0:c r="C5" s="2" t="n"/>
      <ns0:c r="D5" s="2" t="n"/>
      <ns0:c r="E5" s="2" t="n"/>
      <ns0:c r="F5" s="2" t="n"/>
      <ns0:c r="G5" s="2" t="n"/>
      <ns0:c r="H5" s="2" t="n"/>
      <ns0:c r="I5" s="2" t="n"/>
    </ns0:row>
    <ns0:row r="6">
      <ns0:c r="A6" s="2" t="inlineStr">
        <ns0:is>
          <ns0:t>Дубли</ns0:t>
        </ns0:is>
      </ns0:c>
      <ns0:c r="B6" s="2" t="inlineStr">
        <ns0:is>
          <ns0:t>Не вставляйте повторные импорты как новые события. Контроль в practice.py.</ns0:t>
        </ns0:is>
      </ns0:c>
      <ns0:c r="C6" s="2" t="n"/>
      <ns0:c r="D6" s="2" t="n"/>
      <ns0:c r="E6" s="2" t="n"/>
      <ns0:c r="F6" s="2" t="n"/>
      <ns0:c r="G6" s="2" t="n"/>
      <ns0:c r="H6" s="2" t="n"/>
      <ns0:c r="I6" s="2" t="n"/>
    </ns0:row>
  </ns0:sheetData>
  <ns0:autoFilter ref="A1:I6"/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xl/worksheets/sheet12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D11"/>
  <ns0:sheetViews>
    <ns0:sheetView showGridLines="0" workbookViewId="0">
      <ns0:pane xSplit="1" ySplit="1" topLeftCell="B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7" customWidth="1" min="1" max="1"/>
    <ns0:col width="22" customWidth="1" min="2" max="2"/>
    <ns0:col width="22" customWidth="1" min="3" max="3"/>
    <ns0:col width="22" customWidth="1" min="4" max="4"/>
  </ns0:cols>
  <ns0:sheetData>
    <ns0:row r="1">
      <ns0:c r="A1" s="1" t="inlineStr">
        <ns0:is>
          <ns0:t>Модель</ns0:t>
        </ns0:is>
      </ns0:c>
      <ns0:c r="B1" s="1" t="inlineStr">
        <ns0:is>
          <ns0:t>Проверено Python</ns0:t>
        </ns0:is>
      </ns0:c>
      <ns0:c r="C1" s="1" t="inlineStr">
        <ns0:is>
          <ns0:t>Ссылка на главу</ns0:t>
        </ns0:is>
      </ns0:c>
      <ns0:c r="D1" s="1" t="inlineStr">
        <ns0:is>
          <ns0:t>Что проверено</ns0:t>
        </ns0:is>
      </ns0:c>
    </ns0:row>
    <ns0:row r="2">
      <ns0:c r="A2" s="2" t="inlineStr">
        <ns0:is>
          <ns0:t>NPV машины</ns0:t>
        </ns0:is>
      </ns0:c>
      <ns0:c r="B2" s="3" t="n">
        <ns0:v>51129.30588068414</ns0:v>
      </ns0:c>
      <ns0:c r="C2" s="2" t="inlineStr">
        <ns0:is>
          <ns0:t>20</ns0:t>
        </ns0:is>
      </ns0:c>
      <ns0:c r="D2" s="2" t="inlineStr">
        <ns0:is>
          <ns0:t>150000; 60000 пять лет;15%</ns0:t>
        </ns0:is>
      </ns0:c>
    </ns0:row>
    <ns0:row r="3">
      <ns0:c r="A3" s="2" t="inlineStr">
        <ns0:is>
          <ns0:t>NPV задачи</ns0:t>
        </ns0:is>
      </ns0:c>
      <ns0:c r="B3" s="3" t="n">
        <ns0:v>14500.37565740042</ns0:v>
      </ns0:c>
      <ns0:c r="C3" s="2" t="inlineStr">
        <ns0:is>
          <ns0:t>20</ns0:t>
        </ns0:is>
      </ns0:c>
      <ns0:c r="D3" s="2" t="inlineStr">
        <ns0:is>
          <ns0:t>100000;40000,40000,60000;10%</ns0:t>
        </ns0:is>
      </ns0:c>
    </ns0:row>
    <ns0:row r="4">
      <ns0:c r="A4" s="2" t="inlineStr">
        <ns0:is>
          <ns0:t>NPV контрольной работы</ns0:t>
        </ns0:is>
      </ns0:c>
      <ns0:c r="B4" s="3" t="n">
        <ns0:v>31679.99661599329</ns0:v>
      </ns0:c>
      <ns0:c r="C4" s="2" t="inlineStr">
        <ns0:is>
          <ns0:t>Б, работа 3</ns0:t>
        </ns0:is>
      </ns0:c>
      <ns0:c r="D4" s="2" t="inlineStr">
        <ns0:is>
          <ns0:t>200000;70000,70000,70000,100000;12%</ns0:t>
        </ns0:is>
      </ns0:c>
    </ns0:row>
    <ns0:row r="5">
      <ns0:c r="A5" s="2" t="inlineStr">
        <ns0:is>
          <ns0:t>Кредит с резервом</ns0:t>
        </ns0:is>
      </ns0:c>
      <ns0:c r="B5" s="3" t="n">
        <ns0:v>70000</ns0:v>
      </ns0:c>
      <ns0:c r="C5" s="2" t="inlineStr">
        <ns0:is>
          <ns0:t>19</ns0:t>
        </ns0:is>
      </ns0:c>
      <ns0:c r="D5" s="2" t="inlineStr">
        <ns0:is>
          <ns0:t>100000; -80000,-70000,200000; резерв20000</ns0:t>
        </ns0:is>
      </ns0:c>
    </ns0:row>
    <ns0:row r="6">
      <ns0:c r="A6" s="2" t="inlineStr">
        <ns0:is>
          <ns0:t>Вероятность после флага</ns0:t>
        </ns0:is>
      </ns0:c>
      <ns0:c r="B6" s="4" t="n">
        <ns0:v>0.1538461538461539</ns0:v>
      </ns0:c>
      <ns0:c r="C6" s="2" t="inlineStr">
        <ns0:is>
          <ns0:t>4</ns0:t>
        </ns0:is>
      </ns0:c>
      <ns0:c r="D6" s="2" t="inlineStr">
        <ns0:is>
          <ns0:t>1%;90%;5%</ns0:t>
        </ns0:is>
      </ns0:c>
    </ns0:row>
    <ns0:row r="7">
      <ns0:c r="A7" s="2" t="inlineStr">
        <ns0:is>
          <ns0:t>Начисления ГПХ</ns0:t>
        </ns0:is>
      </ns0:c>
      <ns0:c r="B7" s="3" t="n">
        <ns0:v>502.6</ns0:v>
      </ns0:c>
      <ns0:c r="C7" s="2" t="inlineStr">
        <ns0:is>
          <ns0:t>38</ns0:t>
        </ns0:is>
      </ns0:c>
      <ns0:c r="D7" s="2" t="inlineStr">
        <ns0:is>
          <ns0:t>Два разных события по251,30; дубль исключён</ns0:t>
        </ns0:is>
      </ns0:c>
    </ns0:row>
    <ns0:row r="8">
      <ns0:c r="A8" s="2" t="inlineStr">
        <ns0:is>
          <ns0:t>Симуляция: средняя маржа</ns0:t>
        </ns0:is>
      </ns0:c>
      <ns0:c r="B8" s="3" t="n">
        <ns0:v>974.7598403703059</ns0:v>
      </ns0:c>
      <ns0:c r="C8" s="2" t="inlineStr">
        <ns0:is>
          <ns0:t>29</ns0:t>
        </ns0:is>
      </ns0:c>
      <ns0:c r="D8" s="2" t="inlineStr">
        <ns0:is>
          <ns0:t>Синтетические треугольные распределения;practice.py</ns0:t>
        </ns0:is>
      </ns0:c>
    </ns0:row>
    <ns0:row r="9">
      <ns0:c r="A9" s="2" t="inlineStr">
        <ns0:is>
          <ns0:t>Симуляция: доля отрицательных</ns0:t>
        </ns0:is>
      </ns0:c>
      <ns0:c r="B9" s="4" t="n">
        <ns0:v>0.38155</ns0:v>
      </ns0:c>
      <ns0:c r="C9" s="2" t="inlineStr">
        <ns0:is>
          <ns0:t>29</ns0:t>
        </ns0:is>
      </ns0:c>
      <ns0:c r="D9" s="2" t="inlineStr">
        <ns0:is>
          <ns0:t>20000 реализаций;seed2026</ns0:t>
        </ns0:is>
      </ns0:c>
    </ns0:row>
    <ns0:row r="10">
      <ns0:c r="A10" s="2" t="inlineStr">
        <ns0:is>
          <ns0:t>Симуляция:p05</ns0:t>
        </ns0:is>
      </ns0:c>
      <ns0:c r="B10" s="3" t="n">
        <ns0:v>-3626.776052878301</ns0:v>
      </ns0:c>
      <ns0:c r="C10" s="2" t="inlineStr">
        <ns0:is>
          <ns0:t>29</ns0:t>
        </ns0:is>
      </ns0:c>
      <ns0:c r="D10" s="2" t="inlineStr">
        <ns0:is>
          <ns0:t>Учебная модель;не прогноз реального хозяйства</ns0:t>
        </ns0:is>
      </ns0:c>
    </ns0:row>
    <ns0:row r="11">
      <ns0:c r="A11" s="2" t="inlineStr">
        <ns0:is>
          <ns0:t>Симуляция:p95</ns0:t>
        </ns0:is>
      </ns0:c>
      <ns0:c r="B11" s="3" t="n">
        <ns0:v>5823.902404915882</ns0:v>
      </ns0:c>
      <ns0:c r="C11" s="2" t="inlineStr">
        <ns0:is>
          <ns0:t>29</ns0:t>
        </ns0:is>
      </ns0:c>
      <ns0:c r="D11" s="2" t="inlineStr">
        <ns0:is>
          <ns0:t>Учебная модель;не прогноз реального хозяйства</ns0:t>
        </ns0:is>
      </ns0:c>
    </ns0:row>
  </ns0:sheetData>
  <ns0:autoFilter ref="A1:D11"/>
  <ns0:printOptions horizontalCentered="1"/>
  <ns0:pageMargins left="0.75" right="0.75" top="1" bottom="1" header="0.5" footer="0.5"/>
  <ns0:pageSetup orientation="landscape" paperSize="9" fitToHeight="0" fitToWidth="1"/>
  <ns0:headerFooter>
    <ns0:oddHeader/>
    <ns0:oddFooter>&amp;CУчебные данные | &amp;P / &amp;N</ns0:oddFooter>
    <ns0:evenHeader/>
    <ns0:evenFooter/>
    <ns0:firstHeader/>
    <ns0:firstFooter/>
  </ns0:headerFooter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2026-10-11T05:57:14Z</dcterms:created>
  <dcterms:modified xmlns:dcterms="http://purl.org/dc/terms/" xmlns:xsi="http://www.w3.org/2001/XMLSchema-instance" xsi:type="dcterms:W3CDTF">2026-10-11T05:57:14Z</dcterms:modified>
</cp:coreProperties>
</file>