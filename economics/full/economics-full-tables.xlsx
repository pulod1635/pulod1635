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_сначала" sheetId="1" state="visible" r:id="rId1"/>
    <sheet xmlns:r="http://schemas.openxmlformats.org/officeDocument/2006/relationships" name="T001" sheetId="2" state="visible" r:id="rId2"/>
    <sheet xmlns:r="http://schemas.openxmlformats.org/officeDocument/2006/relationships" name="T002" sheetId="3" state="visible" r:id="rId3"/>
    <sheet xmlns:r="http://schemas.openxmlformats.org/officeDocument/2006/relationships" name="T003" sheetId="4" state="visible" r:id="rId4"/>
    <sheet xmlns:r="http://schemas.openxmlformats.org/officeDocument/2006/relationships" name="T004" sheetId="5" state="visible" r:id="rId5"/>
    <sheet xmlns:r="http://schemas.openxmlformats.org/officeDocument/2006/relationships" name="T005" sheetId="6" state="visible" r:id="rId6"/>
    <sheet xmlns:r="http://schemas.openxmlformats.org/officeDocument/2006/relationships" name="T006" sheetId="7" state="visible" r:id="rId7"/>
    <sheet xmlns:r="http://schemas.openxmlformats.org/officeDocument/2006/relationships" name="T007" sheetId="8" state="visible" r:id="rId8"/>
    <sheet xmlns:r="http://schemas.openxmlformats.org/officeDocument/2006/relationships" name="T008" sheetId="9" state="visible" r:id="rId9"/>
    <sheet xmlns:r="http://schemas.openxmlformats.org/officeDocument/2006/relationships" name="T009" sheetId="10" state="visible" r:id="rId10"/>
    <sheet xmlns:r="http://schemas.openxmlformats.org/officeDocument/2006/relationships" name="T010" sheetId="11" state="visible" r:id="rId11"/>
    <sheet xmlns:r="http://schemas.openxmlformats.org/officeDocument/2006/relationships" name="T011" sheetId="12" state="visible" r:id="rId12"/>
    <sheet xmlns:r="http://schemas.openxmlformats.org/officeDocument/2006/relationships" name="T012" sheetId="13" state="visible" r:id="rId13"/>
    <sheet xmlns:r="http://schemas.openxmlformats.org/officeDocument/2006/relationships" name="T013" sheetId="14" state="visible" r:id="rId14"/>
    <sheet xmlns:r="http://schemas.openxmlformats.org/officeDocument/2006/relationships" name="T014" sheetId="15" state="visible" r:id="rId15"/>
    <sheet xmlns:r="http://schemas.openxmlformats.org/officeDocument/2006/relationships" name="T015" sheetId="16" state="visible" r:id="rId16"/>
    <sheet xmlns:r="http://schemas.openxmlformats.org/officeDocument/2006/relationships" name="T016" sheetId="17" state="visible" r:id="rId17"/>
    <sheet xmlns:r="http://schemas.openxmlformats.org/officeDocument/2006/relationships" name="T017" sheetId="18" state="visible" r:id="rId18"/>
    <sheet xmlns:r="http://schemas.openxmlformats.org/officeDocument/2006/relationships" name="T018" sheetId="19" state="visible" r:id="rId19"/>
    <sheet xmlns:r="http://schemas.openxmlformats.org/officeDocument/2006/relationships" name="T019" sheetId="20" state="visible" r:id="rId20"/>
    <sheet xmlns:r="http://schemas.openxmlformats.org/officeDocument/2006/relationships" name="T020" sheetId="21" state="visible" r:id="rId21"/>
    <sheet xmlns:r="http://schemas.openxmlformats.org/officeDocument/2006/relationships" name="T021" sheetId="22" state="visible" r:id="rId22"/>
    <sheet xmlns:r="http://schemas.openxmlformats.org/officeDocument/2006/relationships" name="T022" sheetId="23" state="visible" r:id="rId23"/>
    <sheet xmlns:r="http://schemas.openxmlformats.org/officeDocument/2006/relationships" name="T023" sheetId="24" state="visible" r:id="rId24"/>
    <sheet xmlns:r="http://schemas.openxmlformats.org/officeDocument/2006/relationships" name="T024" sheetId="25" state="visible" r:id="rId25"/>
    <sheet xmlns:r="http://schemas.openxmlformats.org/officeDocument/2006/relationships" name="T025" sheetId="26" state="visible" r:id="rId26"/>
    <sheet xmlns:r="http://schemas.openxmlformats.org/officeDocument/2006/relationships" name="T026" sheetId="27" state="visible" r:id="rId27"/>
    <sheet xmlns:r="http://schemas.openxmlformats.org/officeDocument/2006/relationships" name="T027" sheetId="28" state="visible" r:id="rId28"/>
    <sheet xmlns:r="http://schemas.openxmlformats.org/officeDocument/2006/relationships" name="T028" sheetId="29" state="visible" r:id="rId29"/>
    <sheet xmlns:r="http://schemas.openxmlformats.org/officeDocument/2006/relationships" name="T029" sheetId="30" state="visible" r:id="rId30"/>
    <sheet xmlns:r="http://schemas.openxmlformats.org/officeDocument/2006/relationships" name="T030" sheetId="31" state="visible" r:id="rId31"/>
    <sheet xmlns:r="http://schemas.openxmlformats.org/officeDocument/2006/relationships" name="T031" sheetId="32" state="visible" r:id="rId32"/>
    <sheet xmlns:r="http://schemas.openxmlformats.org/officeDocument/2006/relationships" name="T032" sheetId="33" state="visible" r:id="rId33"/>
    <sheet xmlns:r="http://schemas.openxmlformats.org/officeDocument/2006/relationships" name="T033" sheetId="34" state="visible" r:id="rId34"/>
    <sheet xmlns:r="http://schemas.openxmlformats.org/officeDocument/2006/relationships" name="T034" sheetId="35" state="visible" r:id="rId35"/>
    <sheet xmlns:r="http://schemas.openxmlformats.org/officeDocument/2006/relationships" name="T035" sheetId="36" state="visible" r:id="rId36"/>
    <sheet xmlns:r="http://schemas.openxmlformats.org/officeDocument/2006/relationships" name="T036" sheetId="37" state="visible" r:id="rId37"/>
    <sheet xmlns:r="http://schemas.openxmlformats.org/officeDocument/2006/relationships" name="T037" sheetId="38" state="visible" r:id="rId38"/>
    <sheet xmlns:r="http://schemas.openxmlformats.org/officeDocument/2006/relationships" name="T038" sheetId="39" state="visible" r:id="rId39"/>
    <sheet xmlns:r="http://schemas.openxmlformats.org/officeDocument/2006/relationships" name="T039" sheetId="40" state="visible" r:id="rId40"/>
    <sheet xmlns:r="http://schemas.openxmlformats.org/officeDocument/2006/relationships" name="T040" sheetId="41" state="visible" r:id="rId41"/>
    <sheet xmlns:r="http://schemas.openxmlformats.org/officeDocument/2006/relationships" name="T041" sheetId="42" state="visible" r:id="rId42"/>
    <sheet xmlns:r="http://schemas.openxmlformats.org/officeDocument/2006/relationships" name="T042" sheetId="43" state="visible" r:id="rId43"/>
    <sheet xmlns:r="http://schemas.openxmlformats.org/officeDocument/2006/relationships" name="T043" sheetId="44" state="visible" r:id="rId44"/>
    <sheet xmlns:r="http://schemas.openxmlformats.org/officeDocument/2006/relationships" name="T044" sheetId="45" state="visible" r:id="rId45"/>
    <sheet xmlns:r="http://schemas.openxmlformats.org/officeDocument/2006/relationships" name="T045" sheetId="46" state="visible" r:id="rId46"/>
    <sheet xmlns:r="http://schemas.openxmlformats.org/officeDocument/2006/relationships" name="T046" sheetId="47" state="visible" r:id="rId47"/>
    <sheet xmlns:r="http://schemas.openxmlformats.org/officeDocument/2006/relationships" name="T047" sheetId="48" state="visible" r:id="rId48"/>
    <sheet xmlns:r="http://schemas.openxmlformats.org/officeDocument/2006/relationships" name="T048" sheetId="49" state="visible" r:id="rId49"/>
    <sheet xmlns:r="http://schemas.openxmlformats.org/officeDocument/2006/relationships" name="T049" sheetId="50" state="visible" r:id="rId50"/>
    <sheet xmlns:r="http://schemas.openxmlformats.org/officeDocument/2006/relationships" name="T050" sheetId="51" state="visible" r:id="rId51"/>
    <sheet xmlns:r="http://schemas.openxmlformats.org/officeDocument/2006/relationships" name="T051" sheetId="52" state="visible" r:id="rId52"/>
    <sheet xmlns:r="http://schemas.openxmlformats.org/officeDocument/2006/relationships" name="T052" sheetId="53" state="visible" r:id="rId53"/>
    <sheet xmlns:r="http://schemas.openxmlformats.org/officeDocument/2006/relationships" name="T053" sheetId="54" state="visible" r:id="rId54"/>
    <sheet xmlns:r="http://schemas.openxmlformats.org/officeDocument/2006/relationships" name="T054" sheetId="55" state="visible" r:id="rId55"/>
    <sheet xmlns:r="http://schemas.openxmlformats.org/officeDocument/2006/relationships" name="T055" sheetId="56" state="visible" r:id="rId56"/>
    <sheet xmlns:r="http://schemas.openxmlformats.org/officeDocument/2006/relationships" name="T056" sheetId="57" state="visible" r:id="rId57"/>
    <sheet xmlns:r="http://schemas.openxmlformats.org/officeDocument/2006/relationships" name="T057" sheetId="58" state="visible" r:id="rId58"/>
    <sheet xmlns:r="http://schemas.openxmlformats.org/officeDocument/2006/relationships" name="T058" sheetId="59" state="visible" r:id="rId59"/>
    <sheet xmlns:r="http://schemas.openxmlformats.org/officeDocument/2006/relationships" name="T059" sheetId="60" state="visible" r:id="rId60"/>
    <sheet xmlns:r="http://schemas.openxmlformats.org/officeDocument/2006/relationships" name="T060" sheetId="61" state="visible" r:id="rId61"/>
    <sheet xmlns:r="http://schemas.openxmlformats.org/officeDocument/2006/relationships" name="T061" sheetId="62" state="visible" r:id="rId62"/>
    <sheet xmlns:r="http://schemas.openxmlformats.org/officeDocument/2006/relationships" name="T062" sheetId="63" state="visible" r:id="rId63"/>
    <sheet xmlns:r="http://schemas.openxmlformats.org/officeDocument/2006/relationships" name="T063" sheetId="64" state="visible" r:id="rId64"/>
    <sheet xmlns:r="http://schemas.openxmlformats.org/officeDocument/2006/relationships" name="T064" sheetId="65" state="visible" r:id="rId65"/>
    <sheet xmlns:r="http://schemas.openxmlformats.org/officeDocument/2006/relationships" name="T065" sheetId="66" state="visible" r:id="rId66"/>
    <sheet xmlns:r="http://schemas.openxmlformats.org/officeDocument/2006/relationships" name="T066" sheetId="67" state="visible" r:id="rId67"/>
    <sheet xmlns:r="http://schemas.openxmlformats.org/officeDocument/2006/relationships" name="T067" sheetId="68" state="visible" r:id="rId68"/>
    <sheet xmlns:r="http://schemas.openxmlformats.org/officeDocument/2006/relationships" name="T068" sheetId="69" state="visible" r:id="rId69"/>
    <sheet xmlns:r="http://schemas.openxmlformats.org/officeDocument/2006/relationships" name="T069" sheetId="70" state="visible" r:id="rId70"/>
    <sheet xmlns:r="http://schemas.openxmlformats.org/officeDocument/2006/relationships" name="T070" sheetId="71" state="visible" r:id="rId71"/>
    <sheet xmlns:r="http://schemas.openxmlformats.org/officeDocument/2006/relationships" name="T071" sheetId="72" state="visible" r:id="rId72"/>
    <sheet xmlns:r="http://schemas.openxmlformats.org/officeDocument/2006/relationships" name="T072" sheetId="73" state="visible" r:id="rId73"/>
    <sheet xmlns:r="http://schemas.openxmlformats.org/officeDocument/2006/relationships" name="T073" sheetId="74" state="visible" r:id="rId74"/>
    <sheet xmlns:r="http://schemas.openxmlformats.org/officeDocument/2006/relationships" name="T074" sheetId="75" state="visible" r:id="rId75"/>
    <sheet xmlns:r="http://schemas.openxmlformats.org/officeDocument/2006/relationships" name="T075" sheetId="76" state="visible" r:id="rId76"/>
    <sheet xmlns:r="http://schemas.openxmlformats.org/officeDocument/2006/relationships" name="T076" sheetId="77" state="visible" r:id="rId77"/>
    <sheet xmlns:r="http://schemas.openxmlformats.org/officeDocument/2006/relationships" name="T077" sheetId="78" state="visible" r:id="rId78"/>
    <sheet xmlns:r="http://schemas.openxmlformats.org/officeDocument/2006/relationships" name="T078" sheetId="79" state="visible" r:id="rId79"/>
    <sheet xmlns:r="http://schemas.openxmlformats.org/officeDocument/2006/relationships" name="T079" sheetId="80" state="visible" r:id="rId80"/>
    <sheet xmlns:r="http://schemas.openxmlformats.org/officeDocument/2006/relationships" name="T080" sheetId="81" state="visible" r:id="rId81"/>
    <sheet xmlns:r="http://schemas.openxmlformats.org/officeDocument/2006/relationships" name="T081" sheetId="82" state="visible" r:id="rId82"/>
    <sheet xmlns:r="http://schemas.openxmlformats.org/officeDocument/2006/relationships" name="T082" sheetId="83" state="visible" r:id="rId83"/>
    <sheet xmlns:r="http://schemas.openxmlformats.org/officeDocument/2006/relationships" name="T083" sheetId="84" state="visible" r:id="rId84"/>
    <sheet xmlns:r="http://schemas.openxmlformats.org/officeDocument/2006/relationships" name="T084" sheetId="85" state="visible" r:id="rId85"/>
    <sheet xmlns:r="http://schemas.openxmlformats.org/officeDocument/2006/relationships" name="T085" sheetId="86" state="visible" r:id="rId86"/>
    <sheet xmlns:r="http://schemas.openxmlformats.org/officeDocument/2006/relationships" name="T086" sheetId="87" state="visible" r:id="rId87"/>
    <sheet xmlns:r="http://schemas.openxmlformats.org/officeDocument/2006/relationships" name="T087" sheetId="88" state="visible" r:id="rId88"/>
    <sheet xmlns:r="http://schemas.openxmlformats.org/officeDocument/2006/relationships" name="T088" sheetId="89" state="visible" r:id="rId89"/>
    <sheet xmlns:r="http://schemas.openxmlformats.org/officeDocument/2006/relationships" name="T089" sheetId="90" state="visible" r:id="rId90"/>
    <sheet xmlns:r="http://schemas.openxmlformats.org/officeDocument/2006/relationships" name="T090" sheetId="91" state="visible" r:id="rId91"/>
    <sheet xmlns:r="http://schemas.openxmlformats.org/officeDocument/2006/relationships" name="T091" sheetId="92" state="visible" r:id="rId92"/>
    <sheet xmlns:r="http://schemas.openxmlformats.org/officeDocument/2006/relationships" name="T092" sheetId="93" state="visible" r:id="rId93"/>
    <sheet xmlns:r="http://schemas.openxmlformats.org/officeDocument/2006/relationships" name="T093" sheetId="94" state="visible" r:id="rId94"/>
    <sheet xmlns:r="http://schemas.openxmlformats.org/officeDocument/2006/relationships" name="T094" sheetId="95" state="visible" r:id="rId95"/>
    <sheet xmlns:r="http://schemas.openxmlformats.org/officeDocument/2006/relationships" name="T095" sheetId="96" state="visible" r:id="rId96"/>
    <sheet xmlns:r="http://schemas.openxmlformats.org/officeDocument/2006/relationships" name="T096" sheetId="97" state="visible" r:id="rId97"/>
    <sheet xmlns:r="http://schemas.openxmlformats.org/officeDocument/2006/relationships" name="T097" sheetId="98" state="visible" r:id="rId98"/>
    <sheet xmlns:r="http://schemas.openxmlformats.org/officeDocument/2006/relationships" name="T098" sheetId="99" state="visible" r:id="rId99"/>
    <sheet xmlns:r="http://schemas.openxmlformats.org/officeDocument/2006/relationships" name="T099" sheetId="100" state="visible" r:id="rId100"/>
    <sheet xmlns:r="http://schemas.openxmlformats.org/officeDocument/2006/relationships" name="T100" sheetId="101" state="visible" r:id="rId101"/>
    <sheet xmlns:r="http://schemas.openxmlformats.org/officeDocument/2006/relationships" name="T101" sheetId="102" state="visible" r:id="rId102"/>
    <sheet xmlns:r="http://schemas.openxmlformats.org/officeDocument/2006/relationships" name="T102" sheetId="103" state="visible" r:id="rId103"/>
    <sheet xmlns:r="http://schemas.openxmlformats.org/officeDocument/2006/relationships" name="T103" sheetId="104" state="visible" r:id="rId104"/>
    <sheet xmlns:r="http://schemas.openxmlformats.org/officeDocument/2006/relationships" name="T104" sheetId="105" state="visible" r:id="rId105"/>
    <sheet xmlns:r="http://schemas.openxmlformats.org/officeDocument/2006/relationships" name="T105" sheetId="106" state="visible" r:id="rId106"/>
    <sheet xmlns:r="http://schemas.openxmlformats.org/officeDocument/2006/relationships" name="T106" sheetId="107" state="visible" r:id="rId107"/>
    <sheet xmlns:r="http://schemas.openxmlformats.org/officeDocument/2006/relationships" name="T107" sheetId="108" state="visible" r:id="rId108"/>
    <sheet xmlns:r="http://schemas.openxmlformats.org/officeDocument/2006/relationships" name="T108" sheetId="109" state="visible" r:id="rId109"/>
    <sheet xmlns:r="http://schemas.openxmlformats.org/officeDocument/2006/relationships" name="T109" sheetId="110" state="visible" r:id="rId110"/>
    <sheet xmlns:r="http://schemas.openxmlformats.org/officeDocument/2006/relationships" name="T110" sheetId="111" state="visible" r:id="rId111"/>
    <sheet xmlns:r="http://schemas.openxmlformats.org/officeDocument/2006/relationships" name="T111" sheetId="112" state="visible" r:id="rId112"/>
    <sheet xmlns:r="http://schemas.openxmlformats.org/officeDocument/2006/relationships" name="T112" sheetId="113" state="visible" r:id="rId113"/>
    <sheet xmlns:r="http://schemas.openxmlformats.org/officeDocument/2006/relationships" name="T113" sheetId="114" state="visible" r:id="rId114"/>
    <sheet xmlns:r="http://schemas.openxmlformats.org/officeDocument/2006/relationships" name="T114" sheetId="115" state="visible" r:id="rId115"/>
    <sheet xmlns:r="http://schemas.openxmlformats.org/officeDocument/2006/relationships" name="T115" sheetId="116" state="visible" r:id="rId116"/>
    <sheet xmlns:r="http://schemas.openxmlformats.org/officeDocument/2006/relationships" name="T116" sheetId="117" state="visible" r:id="rId117"/>
    <sheet xmlns:r="http://schemas.openxmlformats.org/officeDocument/2006/relationships" name="T117" sheetId="118" state="visible" r:id="rId118"/>
    <sheet xmlns:r="http://schemas.openxmlformats.org/officeDocument/2006/relationships" name="T118" sheetId="119" state="visible" r:id="rId119"/>
    <sheet xmlns:r="http://schemas.openxmlformats.org/officeDocument/2006/relationships" name="T119" sheetId="120" state="visible" r:id="rId120"/>
    <sheet xmlns:r="http://schemas.openxmlformats.org/officeDocument/2006/relationships" name="T120" sheetId="121" state="visible" r:id="rId121"/>
    <sheet xmlns:r="http://schemas.openxmlformats.org/officeDocument/2006/relationships" name="T121" sheetId="122" state="visible" r:id="rId122"/>
    <sheet xmlns:r="http://schemas.openxmlformats.org/officeDocument/2006/relationships" name="T122" sheetId="123" state="visible" r:id="rId123"/>
    <sheet xmlns:r="http://schemas.openxmlformats.org/officeDocument/2006/relationships" name="T123" sheetId="124" state="visible" r:id="rId124"/>
    <sheet xmlns:r="http://schemas.openxmlformats.org/officeDocument/2006/relationships" name="T124" sheetId="125" state="visible" r:id="rId125"/>
    <sheet xmlns:r="http://schemas.openxmlformats.org/officeDocument/2006/relationships" name="T125" sheetId="126" state="visible" r:id="rId126"/>
    <sheet xmlns:r="http://schemas.openxmlformats.org/officeDocument/2006/relationships" name="T126" sheetId="127" state="visible" r:id="rId127"/>
    <sheet xmlns:r="http://schemas.openxmlformats.org/officeDocument/2006/relationships" name="T127" sheetId="128" state="visible" r:id="rId128"/>
    <sheet xmlns:r="http://schemas.openxmlformats.org/officeDocument/2006/relationships" name="T128" sheetId="129" state="visible" r:id="rId129"/>
    <sheet xmlns:r="http://schemas.openxmlformats.org/officeDocument/2006/relationships" name="T129" sheetId="130" state="visible" r:id="rId130"/>
    <sheet xmlns:r="http://schemas.openxmlformats.org/officeDocument/2006/relationships" name="T130" sheetId="131" state="visible" r:id="rId131"/>
    <sheet xmlns:r="http://schemas.openxmlformats.org/officeDocument/2006/relationships" name="T131" sheetId="132" state="visible" r:id="rId132"/>
    <sheet xmlns:r="http://schemas.openxmlformats.org/officeDocument/2006/relationships" name="T132" sheetId="133" state="visible" r:id="rId133"/>
    <sheet xmlns:r="http://schemas.openxmlformats.org/officeDocument/2006/relationships" name="T133" sheetId="134" state="visible" r:id="rId134"/>
    <sheet xmlns:r="http://schemas.openxmlformats.org/officeDocument/2006/relationships" name="T134" sheetId="135" state="visible" r:id="rId135"/>
    <sheet xmlns:r="http://schemas.openxmlformats.org/officeDocument/2006/relationships" name="T135" sheetId="136" state="visible" r:id="rId136"/>
    <sheet xmlns:r="http://schemas.openxmlformats.org/officeDocument/2006/relationships" name="T136" sheetId="137" state="visible" r:id="rId137"/>
    <sheet xmlns:r="http://schemas.openxmlformats.org/officeDocument/2006/relationships" name="T137" sheetId="138" state="visible" r:id="rId138"/>
    <sheet xmlns:r="http://schemas.openxmlformats.org/officeDocument/2006/relationships" name="T138" sheetId="139" state="visible" r:id="rId139"/>
    <sheet xmlns:r="http://schemas.openxmlformats.org/officeDocument/2006/relationships" name="T139" sheetId="140" state="visible" r:id="rId140"/>
    <sheet xmlns:r="http://schemas.openxmlformats.org/officeDocument/2006/relationships" name="T140" sheetId="141" state="visible" r:id="rId141"/>
    <sheet xmlns:r="http://schemas.openxmlformats.org/officeDocument/2006/relationships" name="T141" sheetId="142" state="visible" r:id="rId142"/>
    <sheet xmlns:r="http://schemas.openxmlformats.org/officeDocument/2006/relationships" name="T142" sheetId="143" state="visible" r:id="rId143"/>
    <sheet xmlns:r="http://schemas.openxmlformats.org/officeDocument/2006/relationships" name="T143" sheetId="144" state="visible" r:id="rId144"/>
    <sheet xmlns:r="http://schemas.openxmlformats.org/officeDocument/2006/relationships" name="T144" sheetId="145" state="visible" r:id="rId145"/>
    <sheet xmlns:r="http://schemas.openxmlformats.org/officeDocument/2006/relationships" name="T145" sheetId="146" state="visible" r:id="rId146"/>
    <sheet xmlns:r="http://schemas.openxmlformats.org/officeDocument/2006/relationships" name="T146" sheetId="147" state="visible" r:id="rId147"/>
    <sheet xmlns:r="http://schemas.openxmlformats.org/officeDocument/2006/relationships" name="T147" sheetId="148" state="visible" r:id="rId148"/>
    <sheet xmlns:r="http://schemas.openxmlformats.org/officeDocument/2006/relationships" name="T148" sheetId="149" state="visible" r:id="rId149"/>
    <sheet xmlns:r="http://schemas.openxmlformats.org/officeDocument/2006/relationships" name="T149" sheetId="150" state="visible" r:id="rId150"/>
    <sheet xmlns:r="http://schemas.openxmlformats.org/officeDocument/2006/relationships" name="T150" sheetId="151" state="visible" r:id="rId151"/>
    <sheet xmlns:r="http://schemas.openxmlformats.org/officeDocument/2006/relationships" name="T151" sheetId="152" state="visible" r:id="rId152"/>
    <sheet xmlns:r="http://schemas.openxmlformats.org/officeDocument/2006/relationships" name="T152" sheetId="153" state="visible" r:id="rId153"/>
    <sheet xmlns:r="http://schemas.openxmlformats.org/officeDocument/2006/relationships" name="T153" sheetId="154" state="visible" r:id="rId154"/>
  </sheets>
  <definedNames>
    <definedName name="_xlnm._FilterDatabase" localSheetId="1" hidden="1">'T001'!$A$1:$E$6</definedName>
    <definedName name="_xlnm.Print_Titles" localSheetId="1">'T001'!$1:$1</definedName>
    <definedName name="_xlnm._FilterDatabase" localSheetId="2" hidden="1">'T002'!$A$1:$G$4</definedName>
    <definedName name="_xlnm.Print_Titles" localSheetId="2">'T002'!$1:$1</definedName>
    <definedName name="_xlnm._FilterDatabase" localSheetId="3" hidden="1">'T003'!$A$1:$G$4</definedName>
    <definedName name="_xlnm.Print_Titles" localSheetId="3">'T003'!$1:$1</definedName>
    <definedName name="_xlnm._FilterDatabase" localSheetId="4" hidden="1">'T004'!$A$1:$G$4</definedName>
    <definedName name="_xlnm.Print_Titles" localSheetId="4">'T004'!$1:$1</definedName>
    <definedName name="_xlnm._FilterDatabase" localSheetId="5" hidden="1">'T005'!$A$1:$H$4</definedName>
    <definedName name="_xlnm.Print_Titles" localSheetId="5">'T005'!$1:$1</definedName>
    <definedName name="_xlnm._FilterDatabase" localSheetId="6" hidden="1">'T006'!$A$1:$D$5</definedName>
    <definedName name="_xlnm.Print_Titles" localSheetId="6">'T006'!$1:$1</definedName>
    <definedName name="_xlnm._FilterDatabase" localSheetId="7" hidden="1">'T007'!$A$1:$K$4</definedName>
    <definedName name="_xlnm.Print_Titles" localSheetId="7">'T007'!$1:$1</definedName>
    <definedName name="_xlnm._FilterDatabase" localSheetId="8" hidden="1">'T008'!$A$1:$H$6</definedName>
    <definedName name="_xlnm.Print_Titles" localSheetId="8">'T008'!$1:$1</definedName>
    <definedName name="_xlnm._FilterDatabase" localSheetId="9" hidden="1">'T009'!$A$1:$E$6</definedName>
    <definedName name="_xlnm.Print_Titles" localSheetId="9">'T009'!$1:$1</definedName>
    <definedName name="_xlnm._FilterDatabase" localSheetId="10" hidden="1">'T010'!$A$1:$H$4</definedName>
    <definedName name="_xlnm.Print_Titles" localSheetId="10">'T010'!$1:$1</definedName>
    <definedName name="_xlnm._FilterDatabase" localSheetId="11" hidden="1">'T011'!$A$1:$H$4</definedName>
    <definedName name="_xlnm.Print_Titles" localSheetId="11">'T011'!$1:$1</definedName>
    <definedName name="_xlnm._FilterDatabase" localSheetId="12" hidden="1">'T012'!$A$1:$G$14</definedName>
    <definedName name="_xlnm.Print_Titles" localSheetId="12">'T012'!$1:$1</definedName>
    <definedName name="_xlnm._FilterDatabase" localSheetId="13" hidden="1">'T013'!$A$1:$H$11</definedName>
    <definedName name="_xlnm.Print_Titles" localSheetId="13">'T013'!$1:$1</definedName>
    <definedName name="_xlnm._FilterDatabase" localSheetId="14" hidden="1">'T014'!$A$1:$I$4</definedName>
    <definedName name="_xlnm.Print_Titles" localSheetId="14">'T014'!$1:$1</definedName>
    <definedName name="_xlnm._FilterDatabase" localSheetId="15" hidden="1">'T015'!$A$1:$D$9</definedName>
    <definedName name="_xlnm.Print_Titles" localSheetId="15">'T015'!$1:$1</definedName>
    <definedName name="_xlnm._FilterDatabase" localSheetId="16" hidden="1">'T016'!$A$1:$J$5</definedName>
    <definedName name="_xlnm.Print_Titles" localSheetId="16">'T016'!$1:$1</definedName>
    <definedName name="_xlnm._FilterDatabase" localSheetId="17" hidden="1">'T017'!$A$1:$G$7</definedName>
    <definedName name="_xlnm.Print_Titles" localSheetId="17">'T017'!$1:$1</definedName>
    <definedName name="_xlnm._FilterDatabase" localSheetId="18" hidden="1">'T018'!$A$1:$K$8</definedName>
    <definedName name="_xlnm.Print_Titles" localSheetId="18">'T018'!$1:$1</definedName>
    <definedName name="_xlnm._FilterDatabase" localSheetId="19" hidden="1">'T019'!$A$1:$I$6</definedName>
    <definedName name="_xlnm.Print_Titles" localSheetId="19">'T019'!$1:$1</definedName>
    <definedName name="_xlnm._FilterDatabase" localSheetId="20" hidden="1">'T020'!$A$1:$I$5</definedName>
    <definedName name="_xlnm.Print_Titles" localSheetId="20">'T020'!$1:$1</definedName>
    <definedName name="_xlnm._FilterDatabase" localSheetId="21" hidden="1">'T021'!$A$1:$G$8</definedName>
    <definedName name="_xlnm.Print_Titles" localSheetId="21">'T021'!$1:$1</definedName>
    <definedName name="_xlnm._FilterDatabase" localSheetId="22" hidden="1">'T022'!$A$1:$G$8</definedName>
    <definedName name="_xlnm.Print_Titles" localSheetId="22">'T022'!$1:$1</definedName>
    <definedName name="_xlnm._FilterDatabase" localSheetId="23" hidden="1">'T023'!$A$1:$N$5</definedName>
    <definedName name="_xlnm.Print_Titles" localSheetId="23">'T023'!$1:$1</definedName>
    <definedName name="_xlnm._FilterDatabase" localSheetId="24" hidden="1">'T024'!$A$1:$N$5</definedName>
    <definedName name="_xlnm.Print_Titles" localSheetId="24">'T024'!$1:$1</definedName>
    <definedName name="_xlnm._FilterDatabase" localSheetId="25" hidden="1">'T025'!$A$1:$C$6</definedName>
    <definedName name="_xlnm.Print_Titles" localSheetId="25">'T025'!$1:$1</definedName>
    <definedName name="_xlnm._FilterDatabase" localSheetId="26" hidden="1">'T026'!$A$1:$I$5</definedName>
    <definedName name="_xlnm.Print_Titles" localSheetId="26">'T026'!$1:$1</definedName>
    <definedName name="_xlnm._FilterDatabase" localSheetId="27" hidden="1">'T027'!$A$1:$H$5</definedName>
    <definedName name="_xlnm.Print_Titles" localSheetId="27">'T027'!$1:$1</definedName>
    <definedName name="_xlnm._FilterDatabase" localSheetId="28" hidden="1">'T028'!$A$1:$G$8</definedName>
    <definedName name="_xlnm.Print_Titles" localSheetId="28">'T028'!$1:$1</definedName>
    <definedName name="_xlnm._FilterDatabase" localSheetId="29" hidden="1">'T029'!$A$1:$G$8</definedName>
    <definedName name="_xlnm.Print_Titles" localSheetId="29">'T029'!$1:$1</definedName>
    <definedName name="_xlnm._FilterDatabase" localSheetId="30" hidden="1">'T030'!$A$1:$F$6</definedName>
    <definedName name="_xlnm.Print_Titles" localSheetId="30">'T030'!$1:$1</definedName>
    <definedName name="_xlnm._FilterDatabase" localSheetId="31" hidden="1">'T031'!$A$1:$H$11</definedName>
    <definedName name="_xlnm.Print_Titles" localSheetId="31">'T031'!$1:$1</definedName>
    <definedName name="_xlnm._FilterDatabase" localSheetId="32" hidden="1">'T032'!$A$1:$H$11</definedName>
    <definedName name="_xlnm.Print_Titles" localSheetId="32">'T032'!$1:$1</definedName>
    <definedName name="_xlnm._FilterDatabase" localSheetId="33" hidden="1">'T033'!$A$1:$C$5</definedName>
    <definedName name="_xlnm.Print_Titles" localSheetId="33">'T033'!$1:$1</definedName>
    <definedName name="_xlnm._FilterDatabase" localSheetId="34" hidden="1">'T034'!$A$1:$I$6</definedName>
    <definedName name="_xlnm.Print_Titles" localSheetId="34">'T034'!$1:$1</definedName>
    <definedName name="_xlnm._FilterDatabase" localSheetId="35" hidden="1">'T035'!$A$1:$I$6</definedName>
    <definedName name="_xlnm.Print_Titles" localSheetId="35">'T035'!$1:$1</definedName>
    <definedName name="_xlnm._FilterDatabase" localSheetId="36" hidden="1">'T036'!$A$1:$D$8</definedName>
    <definedName name="_xlnm.Print_Titles" localSheetId="36">'T036'!$1:$1</definedName>
    <definedName name="_xlnm._FilterDatabase" localSheetId="37" hidden="1">'T037'!$A$1:$G$8</definedName>
    <definedName name="_xlnm.Print_Titles" localSheetId="37">'T037'!$1:$1</definedName>
    <definedName name="_xlnm._FilterDatabase" localSheetId="38" hidden="1">'T038'!$A$1:$G$8</definedName>
    <definedName name="_xlnm.Print_Titles" localSheetId="38">'T038'!$1:$1</definedName>
    <definedName name="_xlnm._FilterDatabase" localSheetId="39" hidden="1">'T039'!$A$1:$D$7</definedName>
    <definedName name="_xlnm.Print_Titles" localSheetId="39">'T039'!$1:$1</definedName>
    <definedName name="_xlnm._FilterDatabase" localSheetId="40" hidden="1">'T040'!$A$1:$D$7</definedName>
    <definedName name="_xlnm.Print_Titles" localSheetId="40">'T040'!$1:$1</definedName>
    <definedName name="_xlnm._FilterDatabase" localSheetId="41" hidden="1">'T041'!$A$1:$D$7</definedName>
    <definedName name="_xlnm.Print_Titles" localSheetId="41">'T041'!$1:$1</definedName>
    <definedName name="_xlnm._FilterDatabase" localSheetId="42" hidden="1">'T042'!$A$1:$G$7</definedName>
    <definedName name="_xlnm.Print_Titles" localSheetId="42">'T042'!$1:$1</definedName>
    <definedName name="_xlnm._FilterDatabase" localSheetId="43" hidden="1">'T043'!$A$1:$G$7</definedName>
    <definedName name="_xlnm.Print_Titles" localSheetId="43">'T043'!$1:$1</definedName>
    <definedName name="_xlnm._FilterDatabase" localSheetId="44" hidden="1">'T044'!$A$1:$G$5</definedName>
    <definedName name="_xlnm.Print_Titles" localSheetId="44">'T044'!$1:$1</definedName>
    <definedName name="_xlnm._FilterDatabase" localSheetId="45" hidden="1">'T045'!$A$1:$I$6</definedName>
    <definedName name="_xlnm.Print_Titles" localSheetId="45">'T045'!$1:$1</definedName>
    <definedName name="_xlnm._FilterDatabase" localSheetId="46" hidden="1">'T046'!$A$1:$I$6</definedName>
    <definedName name="_xlnm.Print_Titles" localSheetId="46">'T046'!$1:$1</definedName>
    <definedName name="_xlnm._FilterDatabase" localSheetId="47" hidden="1">'T047'!$A$1:$I$6</definedName>
    <definedName name="_xlnm.Print_Titles" localSheetId="47">'T047'!$1:$1</definedName>
    <definedName name="_xlnm._FilterDatabase" localSheetId="48" hidden="1">'T048'!$A$1:$I$6</definedName>
    <definedName name="_xlnm.Print_Titles" localSheetId="48">'T048'!$1:$1</definedName>
    <definedName name="_xlnm._FilterDatabase" localSheetId="49" hidden="1">'T049'!$A$1:$D$7</definedName>
    <definedName name="_xlnm.Print_Titles" localSheetId="49">'T049'!$1:$1</definedName>
    <definedName name="_xlnm._FilterDatabase" localSheetId="50" hidden="1">'T050'!$A$1:$I$6</definedName>
    <definedName name="_xlnm.Print_Titles" localSheetId="50">'T050'!$1:$1</definedName>
    <definedName name="_xlnm._FilterDatabase" localSheetId="51" hidden="1">'T051'!$A$1:$I$6</definedName>
    <definedName name="_xlnm.Print_Titles" localSheetId="51">'T051'!$1:$1</definedName>
    <definedName name="_xlnm._FilterDatabase" localSheetId="52" hidden="1">'T052'!$A$1:$C$4</definedName>
    <definedName name="_xlnm.Print_Titles" localSheetId="52">'T052'!$1:$1</definedName>
    <definedName name="_xlnm._FilterDatabase" localSheetId="53" hidden="1">'T053'!$A$1:$J$6</definedName>
    <definedName name="_xlnm.Print_Titles" localSheetId="53">'T053'!$1:$1</definedName>
    <definedName name="_xlnm._FilterDatabase" localSheetId="54" hidden="1">'T054'!$A$1:$J$6</definedName>
    <definedName name="_xlnm.Print_Titles" localSheetId="54">'T054'!$1:$1</definedName>
    <definedName name="_xlnm._FilterDatabase" localSheetId="55" hidden="1">'T055'!$A$1:$J$6</definedName>
    <definedName name="_xlnm.Print_Titles" localSheetId="55">'T055'!$1:$1</definedName>
    <definedName name="_xlnm._FilterDatabase" localSheetId="56" hidden="1">'T056'!$A$1:$J$6</definedName>
    <definedName name="_xlnm.Print_Titles" localSheetId="56">'T056'!$1:$1</definedName>
    <definedName name="_xlnm._FilterDatabase" localSheetId="57" hidden="1">'T057'!$A$1:$I$6</definedName>
    <definedName name="_xlnm.Print_Titles" localSheetId="57">'T057'!$1:$1</definedName>
    <definedName name="_xlnm._FilterDatabase" localSheetId="58" hidden="1">'T058'!$A$1:$I$6</definedName>
    <definedName name="_xlnm.Print_Titles" localSheetId="58">'T058'!$1:$1</definedName>
    <definedName name="_xlnm._FilterDatabase" localSheetId="59" hidden="1">'T059'!$A$1:$J$6</definedName>
    <definedName name="_xlnm.Print_Titles" localSheetId="59">'T059'!$1:$1</definedName>
    <definedName name="_xlnm._FilterDatabase" localSheetId="60" hidden="1">'T060'!$A$1:$J$6</definedName>
    <definedName name="_xlnm.Print_Titles" localSheetId="60">'T060'!$1:$1</definedName>
    <definedName name="_xlnm._FilterDatabase" localSheetId="61" hidden="1">'T061'!$A$1:$J$2</definedName>
    <definedName name="_xlnm.Print_Titles" localSheetId="61">'T061'!$1:$1</definedName>
    <definedName name="_xlnm._FilterDatabase" localSheetId="62" hidden="1">'T062'!$A$1:$F$11</definedName>
    <definedName name="_xlnm.Print_Titles" localSheetId="62">'T062'!$1:$1</definedName>
    <definedName name="_xlnm._FilterDatabase" localSheetId="63" hidden="1">'T063'!$A$1:$F$11</definedName>
    <definedName name="_xlnm.Print_Titles" localSheetId="63">'T063'!$1:$1</definedName>
    <definedName name="_xlnm._FilterDatabase" localSheetId="64" hidden="1">'T064'!$A$1:$J$6</definedName>
    <definedName name="_xlnm.Print_Titles" localSheetId="64">'T064'!$1:$1</definedName>
    <definedName name="_xlnm._FilterDatabase" localSheetId="65" hidden="1">'T065'!$A$1:$J$6</definedName>
    <definedName name="_xlnm.Print_Titles" localSheetId="65">'T065'!$1:$1</definedName>
    <definedName name="_xlnm._FilterDatabase" localSheetId="66" hidden="1">'T066'!$A$1:$J$6</definedName>
    <definedName name="_xlnm.Print_Titles" localSheetId="66">'T066'!$1:$1</definedName>
    <definedName name="_xlnm._FilterDatabase" localSheetId="67" hidden="1">'T067'!$A$1:$J$6</definedName>
    <definedName name="_xlnm.Print_Titles" localSheetId="67">'T067'!$1:$1</definedName>
    <definedName name="_xlnm._FilterDatabase" localSheetId="68" hidden="1">'T068'!$A$1:$J$6</definedName>
    <definedName name="_xlnm.Print_Titles" localSheetId="68">'T068'!$1:$1</definedName>
    <definedName name="_xlnm._FilterDatabase" localSheetId="69" hidden="1">'T069'!$A$1:$J$6</definedName>
    <definedName name="_xlnm.Print_Titles" localSheetId="69">'T069'!$1:$1</definedName>
    <definedName name="_xlnm._FilterDatabase" localSheetId="70" hidden="1">'T070'!$A$1:$E$5</definedName>
    <definedName name="_xlnm.Print_Titles" localSheetId="70">'T070'!$1:$1</definedName>
    <definedName name="_xlnm._FilterDatabase" localSheetId="71" hidden="1">'T071'!$A$1:$E$5</definedName>
    <definedName name="_xlnm.Print_Titles" localSheetId="71">'T071'!$1:$1</definedName>
    <definedName name="_xlnm._FilterDatabase" localSheetId="72" hidden="1">'T072'!$A$1:$J$6</definedName>
    <definedName name="_xlnm.Print_Titles" localSheetId="72">'T072'!$1:$1</definedName>
    <definedName name="_xlnm._FilterDatabase" localSheetId="73" hidden="1">'T073'!$A$1:$J$6</definedName>
    <definedName name="_xlnm.Print_Titles" localSheetId="73">'T073'!$1:$1</definedName>
    <definedName name="_xlnm._FilterDatabase" localSheetId="74" hidden="1">'T074'!$A$1:$E$3</definedName>
    <definedName name="_xlnm.Print_Titles" localSheetId="74">'T074'!$1:$1</definedName>
    <definedName name="_xlnm._FilterDatabase" localSheetId="75" hidden="1">'T075'!$A$1:$D$4</definedName>
    <definedName name="_xlnm.Print_Titles" localSheetId="75">'T075'!$1:$1</definedName>
    <definedName name="_xlnm._FilterDatabase" localSheetId="76" hidden="1">'T076'!$A$1:$I$6</definedName>
    <definedName name="_xlnm.Print_Titles" localSheetId="76">'T076'!$1:$1</definedName>
    <definedName name="_xlnm._FilterDatabase" localSheetId="77" hidden="1">'T077'!$A$1:$I$6</definedName>
    <definedName name="_xlnm.Print_Titles" localSheetId="77">'T077'!$1:$1</definedName>
    <definedName name="_xlnm._FilterDatabase" localSheetId="78" hidden="1">'T078'!$A$1:$F$6</definedName>
    <definedName name="_xlnm.Print_Titles" localSheetId="78">'T078'!$1:$1</definedName>
    <definedName name="_xlnm._FilterDatabase" localSheetId="79" hidden="1">'T079'!$A$1:$G$9</definedName>
    <definedName name="_xlnm.Print_Titles" localSheetId="79">'T079'!$1:$1</definedName>
    <definedName name="_xlnm._FilterDatabase" localSheetId="80" hidden="1">'T080'!$A$1:$K$10</definedName>
    <definedName name="_xlnm.Print_Titles" localSheetId="80">'T080'!$1:$1</definedName>
    <definedName name="_xlnm._FilterDatabase" localSheetId="81" hidden="1">'T081'!$A$1:$K$10</definedName>
    <definedName name="_xlnm.Print_Titles" localSheetId="81">'T081'!$1:$1</definedName>
    <definedName name="_xlnm._FilterDatabase" localSheetId="82" hidden="1">'T082'!$A$1:$D$7</definedName>
    <definedName name="_xlnm.Print_Titles" localSheetId="82">'T082'!$1:$1</definedName>
    <definedName name="_xlnm._FilterDatabase" localSheetId="83" hidden="1">'T083'!$A$1:$K$6</definedName>
    <definedName name="_xlnm.Print_Titles" localSheetId="83">'T083'!$1:$1</definedName>
    <definedName name="_xlnm._FilterDatabase" localSheetId="84" hidden="1">'T084'!$A$1:$K$6</definedName>
    <definedName name="_xlnm.Print_Titles" localSheetId="84">'T084'!$1:$1</definedName>
    <definedName name="_xlnm._FilterDatabase" localSheetId="85" hidden="1">'T085'!$A$1:$J$6</definedName>
    <definedName name="_xlnm.Print_Titles" localSheetId="85">'T085'!$1:$1</definedName>
    <definedName name="_xlnm._FilterDatabase" localSheetId="86" hidden="1">'T086'!$A$1:$J$6</definedName>
    <definedName name="_xlnm.Print_Titles" localSheetId="86">'T086'!$1:$1</definedName>
    <definedName name="_xlnm._FilterDatabase" localSheetId="87" hidden="1">'T087'!$A$1:$J$6</definedName>
    <definedName name="_xlnm.Print_Titles" localSheetId="87">'T087'!$1:$1</definedName>
    <definedName name="_xlnm._FilterDatabase" localSheetId="88" hidden="1">'T088'!$A$1:$J$6</definedName>
    <definedName name="_xlnm.Print_Titles" localSheetId="88">'T088'!$1:$1</definedName>
    <definedName name="_xlnm._FilterDatabase" localSheetId="89" hidden="1">'T089'!$A$1:$D$5</definedName>
    <definedName name="_xlnm.Print_Titles" localSheetId="89">'T089'!$1:$1</definedName>
    <definedName name="_xlnm._FilterDatabase" localSheetId="90" hidden="1">'T090'!$A$1:$I$6</definedName>
    <definedName name="_xlnm.Print_Titles" localSheetId="90">'T090'!$1:$1</definedName>
    <definedName name="_xlnm._FilterDatabase" localSheetId="91" hidden="1">'T091'!$A$1:$I$6</definedName>
    <definedName name="_xlnm.Print_Titles" localSheetId="91">'T091'!$1:$1</definedName>
    <definedName name="_xlnm._FilterDatabase" localSheetId="92" hidden="1">'T092'!$A$1:$C$5</definedName>
    <definedName name="_xlnm.Print_Titles" localSheetId="92">'T092'!$1:$1</definedName>
    <definedName name="_xlnm._FilterDatabase" localSheetId="93" hidden="1">'T093'!$A$1:$K$6</definedName>
    <definedName name="_xlnm.Print_Titles" localSheetId="93">'T093'!$1:$1</definedName>
    <definedName name="_xlnm._FilterDatabase" localSheetId="94" hidden="1">'T094'!$A$1:$K$6</definedName>
    <definedName name="_xlnm.Print_Titles" localSheetId="94">'T094'!$1:$1</definedName>
    <definedName name="_xlnm._FilterDatabase" localSheetId="95" hidden="1">'T095'!$A$1:$K$6</definedName>
    <definedName name="_xlnm.Print_Titles" localSheetId="95">'T095'!$1:$1</definedName>
    <definedName name="_xlnm._FilterDatabase" localSheetId="96" hidden="1">'T096'!$A$1:$K$6</definedName>
    <definedName name="_xlnm.Print_Titles" localSheetId="96">'T096'!$1:$1</definedName>
    <definedName name="_xlnm._FilterDatabase" localSheetId="97" hidden="1">'T097'!$A$1:$K$6</definedName>
    <definedName name="_xlnm.Print_Titles" localSheetId="97">'T097'!$1:$1</definedName>
    <definedName name="_xlnm._FilterDatabase" localSheetId="98" hidden="1">'T098'!$A$1:$K$6</definedName>
    <definedName name="_xlnm.Print_Titles" localSheetId="98">'T098'!$1:$1</definedName>
    <definedName name="_xlnm._FilterDatabase" localSheetId="99" hidden="1">'T099'!$A$1:$K$6</definedName>
    <definedName name="_xlnm.Print_Titles" localSheetId="99">'T099'!$1:$1</definedName>
    <definedName name="_xlnm._FilterDatabase" localSheetId="100" hidden="1">'T100'!$A$1:$K$6</definedName>
    <definedName name="_xlnm.Print_Titles" localSheetId="100">'T100'!$1:$1</definedName>
    <definedName name="_xlnm._FilterDatabase" localSheetId="101" hidden="1">'T101'!$A$1:$K$8</definedName>
    <definedName name="_xlnm.Print_Titles" localSheetId="101">'T101'!$1:$1</definedName>
    <definedName name="_xlnm._FilterDatabase" localSheetId="102" hidden="1">'T102'!$A$1:$K$8</definedName>
    <definedName name="_xlnm.Print_Titles" localSheetId="102">'T102'!$1:$1</definedName>
    <definedName name="_xlnm._FilterDatabase" localSheetId="103" hidden="1">'T103'!$A$1:$D$5</definedName>
    <definedName name="_xlnm.Print_Titles" localSheetId="103">'T103'!$1:$1</definedName>
    <definedName name="_xlnm._FilterDatabase" localSheetId="104" hidden="1">'T104'!$A$1:$K$6</definedName>
    <definedName name="_xlnm.Print_Titles" localSheetId="104">'T104'!$1:$1</definedName>
    <definedName name="_xlnm._FilterDatabase" localSheetId="105" hidden="1">'T105'!$A$1:$K$6</definedName>
    <definedName name="_xlnm.Print_Titles" localSheetId="105">'T105'!$1:$1</definedName>
    <definedName name="_xlnm._FilterDatabase" localSheetId="106" hidden="1">'T106'!$A$1:$C$5</definedName>
    <definedName name="_xlnm.Print_Titles" localSheetId="106">'T106'!$1:$1</definedName>
    <definedName name="_xlnm._FilterDatabase" localSheetId="107" hidden="1">'T107'!$A$1:$K$6</definedName>
    <definedName name="_xlnm.Print_Titles" localSheetId="107">'T107'!$1:$1</definedName>
    <definedName name="_xlnm._FilterDatabase" localSheetId="108" hidden="1">'T108'!$A$1:$K$6</definedName>
    <definedName name="_xlnm.Print_Titles" localSheetId="108">'T108'!$1:$1</definedName>
    <definedName name="_xlnm._FilterDatabase" localSheetId="109" hidden="1">'T109'!$A$1:$C$6</definedName>
    <definedName name="_xlnm.Print_Titles" localSheetId="109">'T109'!$1:$1</definedName>
    <definedName name="_xlnm._FilterDatabase" localSheetId="110" hidden="1">'T110'!$A$1:$K$6</definedName>
    <definedName name="_xlnm.Print_Titles" localSheetId="110">'T110'!$1:$1</definedName>
    <definedName name="_xlnm._FilterDatabase" localSheetId="111" hidden="1">'T111'!$A$1:$K$6</definedName>
    <definedName name="_xlnm.Print_Titles" localSheetId="111">'T111'!$1:$1</definedName>
    <definedName name="_xlnm._FilterDatabase" localSheetId="112" hidden="1">'T112'!$A$1:$E$10</definedName>
    <definedName name="_xlnm.Print_Titles" localSheetId="112">'T112'!$1:$1</definedName>
    <definedName name="_xlnm._FilterDatabase" localSheetId="113" hidden="1">'T113'!$A$1:$K$9</definedName>
    <definedName name="_xlnm.Print_Titles" localSheetId="113">'T113'!$1:$1</definedName>
    <definedName name="_xlnm._FilterDatabase" localSheetId="114" hidden="1">'T114'!$A$1:$K$9</definedName>
    <definedName name="_xlnm.Print_Titles" localSheetId="114">'T114'!$1:$1</definedName>
    <definedName name="_xlnm._FilterDatabase" localSheetId="115" hidden="1">'T115'!$A$1:$K$6</definedName>
    <definedName name="_xlnm.Print_Titles" localSheetId="115">'T115'!$1:$1</definedName>
    <definedName name="_xlnm._FilterDatabase" localSheetId="116" hidden="1">'T116'!$A$1:$K$6</definedName>
    <definedName name="_xlnm.Print_Titles" localSheetId="116">'T116'!$1:$1</definedName>
    <definedName name="_xlnm._FilterDatabase" localSheetId="117" hidden="1">'T117'!$A$1:$D$11</definedName>
    <definedName name="_xlnm.Print_Titles" localSheetId="117">'T117'!$1:$1</definedName>
    <definedName name="_xlnm._FilterDatabase" localSheetId="118" hidden="1">'T118'!$A$1:$K$6</definedName>
    <definedName name="_xlnm.Print_Titles" localSheetId="118">'T118'!$1:$1</definedName>
    <definedName name="_xlnm._FilterDatabase" localSheetId="119" hidden="1">'T119'!$A$1:$K$6</definedName>
    <definedName name="_xlnm.Print_Titles" localSheetId="119">'T119'!$1:$1</definedName>
    <definedName name="_xlnm._FilterDatabase" localSheetId="120" hidden="1">'T120'!$A$1:$G$7</definedName>
    <definedName name="_xlnm.Print_Titles" localSheetId="120">'T120'!$1:$1</definedName>
    <definedName name="_xlnm._FilterDatabase" localSheetId="121" hidden="1">'T121'!$A$1:$K$8</definedName>
    <definedName name="_xlnm.Print_Titles" localSheetId="121">'T121'!$1:$1</definedName>
    <definedName name="_xlnm._FilterDatabase" localSheetId="122" hidden="1">'T122'!$A$1:$K$8</definedName>
    <definedName name="_xlnm.Print_Titles" localSheetId="122">'T122'!$1:$1</definedName>
    <definedName name="_xlnm._FilterDatabase" localSheetId="123" hidden="1">'T123'!$A$1:$C$5</definedName>
    <definedName name="_xlnm.Print_Titles" localSheetId="123">'T123'!$1:$1</definedName>
    <definedName name="_xlnm._FilterDatabase" localSheetId="124" hidden="1">'T124'!$A$1:$C$5</definedName>
    <definedName name="_xlnm.Print_Titles" localSheetId="124">'T124'!$1:$1</definedName>
    <definedName name="_xlnm._FilterDatabase" localSheetId="125" hidden="1">'T125'!$A$1:$K$6</definedName>
    <definedName name="_xlnm.Print_Titles" localSheetId="125">'T125'!$1:$1</definedName>
    <definedName name="_xlnm._FilterDatabase" localSheetId="126" hidden="1">'T126'!$A$1:$K$6</definedName>
    <definedName name="_xlnm.Print_Titles" localSheetId="126">'T126'!$1:$1</definedName>
    <definedName name="_xlnm._FilterDatabase" localSheetId="127" hidden="1">'T127'!$A$1:$E$5</definedName>
    <definedName name="_xlnm.Print_Titles" localSheetId="127">'T127'!$1:$1</definedName>
    <definedName name="_xlnm._FilterDatabase" localSheetId="128" hidden="1">'T128'!$A$1:$K$7</definedName>
    <definedName name="_xlnm.Print_Titles" localSheetId="128">'T128'!$1:$1</definedName>
    <definedName name="_xlnm._FilterDatabase" localSheetId="129" hidden="1">'T129'!$A$1:$K$7</definedName>
    <definedName name="_xlnm.Print_Titles" localSheetId="129">'T129'!$1:$1</definedName>
    <definedName name="_xlnm._FilterDatabase" localSheetId="130" hidden="1">'T130'!$A$1:$K$10</definedName>
    <definedName name="_xlnm.Print_Titles" localSheetId="130">'T130'!$1:$1</definedName>
    <definedName name="_xlnm._FilterDatabase" localSheetId="131" hidden="1">'T131'!$A$1:$K$10</definedName>
    <definedName name="_xlnm.Print_Titles" localSheetId="131">'T131'!$1:$1</definedName>
    <definedName name="_xlnm._FilterDatabase" localSheetId="132" hidden="1">'T132'!$A$1:$E$5</definedName>
    <definedName name="_xlnm.Print_Titles" localSheetId="132">'T132'!$1:$1</definedName>
    <definedName name="_xlnm._FilterDatabase" localSheetId="133" hidden="1">'T133'!$A$1:$E$8</definedName>
    <definedName name="_xlnm.Print_Titles" localSheetId="133">'T133'!$1:$1</definedName>
    <definedName name="_xlnm._FilterDatabase" localSheetId="134" hidden="1">'T134'!$A$1:$L$6</definedName>
    <definedName name="_xlnm.Print_Titles" localSheetId="134">'T134'!$1:$1</definedName>
    <definedName name="_xlnm._FilterDatabase" localSheetId="135" hidden="1">'T135'!$A$1:$L$6</definedName>
    <definedName name="_xlnm.Print_Titles" localSheetId="135">'T135'!$1:$1</definedName>
    <definedName name="_xlnm._FilterDatabase" localSheetId="136" hidden="1">'T136'!$A$1:$L$6</definedName>
    <definedName name="_xlnm.Print_Titles" localSheetId="136">'T136'!$1:$1</definedName>
    <definedName name="_xlnm._FilterDatabase" localSheetId="137" hidden="1">'T137'!$A$1:$L$6</definedName>
    <definedName name="_xlnm.Print_Titles" localSheetId="137">'T137'!$1:$1</definedName>
    <definedName name="_xlnm._FilterDatabase" localSheetId="138" hidden="1">'T138'!$A$1:$L$5</definedName>
    <definedName name="_xlnm.Print_Titles" localSheetId="138">'T138'!$1:$1</definedName>
    <definedName name="_xlnm._FilterDatabase" localSheetId="139" hidden="1">'T139'!$A$1:$L$5</definedName>
    <definedName name="_xlnm.Print_Titles" localSheetId="139">'T139'!$1:$1</definedName>
    <definedName name="_xlnm._FilterDatabase" localSheetId="140" hidden="1">'T140'!$A$1:$C$6</definedName>
    <definedName name="_xlnm.Print_Titles" localSheetId="140">'T140'!$1:$1</definedName>
    <definedName name="_xlnm._FilterDatabase" localSheetId="141" hidden="1">'T141'!$A$1:$L$6</definedName>
    <definedName name="_xlnm.Print_Titles" localSheetId="141">'T141'!$1:$1</definedName>
    <definedName name="_xlnm._FilterDatabase" localSheetId="142" hidden="1">'T142'!$A$1:$L$6</definedName>
    <definedName name="_xlnm.Print_Titles" localSheetId="142">'T142'!$1:$1</definedName>
    <definedName name="_xlnm._FilterDatabase" localSheetId="143" hidden="1">'T143'!$A$1:$E$8</definedName>
    <definedName name="_xlnm.Print_Titles" localSheetId="143">'T143'!$1:$1</definedName>
    <definedName name="_xlnm._FilterDatabase" localSheetId="144" hidden="1">'T144'!$A$1:$K$8</definedName>
    <definedName name="_xlnm.Print_Titles" localSheetId="144">'T144'!$1:$1</definedName>
    <definedName name="_xlnm._FilterDatabase" localSheetId="145" hidden="1">'T145'!$A$1:$K$8</definedName>
    <definedName name="_xlnm.Print_Titles" localSheetId="145">'T145'!$1:$1</definedName>
    <definedName name="_xlnm._FilterDatabase" localSheetId="146" hidden="1">'T146'!$A$1:$D$7</definedName>
    <definedName name="_xlnm.Print_Titles" localSheetId="146">'T146'!$1:$1</definedName>
    <definedName name="_xlnm._FilterDatabase" localSheetId="147" hidden="1">'T147'!$A$1:$E$8</definedName>
    <definedName name="_xlnm.Print_Titles" localSheetId="147">'T147'!$1:$1</definedName>
    <definedName name="_xlnm._FilterDatabase" localSheetId="148" hidden="1">'T148'!$A$1:$K$9</definedName>
    <definedName name="_xlnm.Print_Titles" localSheetId="148">'T148'!$1:$1</definedName>
    <definedName name="_xlnm._FilterDatabase" localSheetId="149" hidden="1">'T149'!$A$1:$K$9</definedName>
    <definedName name="_xlnm.Print_Titles" localSheetId="149">'T149'!$1:$1</definedName>
    <definedName name="_xlnm._FilterDatabase" localSheetId="150" hidden="1">'T150'!$A$1:$D$5</definedName>
    <definedName name="_xlnm.Print_Titles" localSheetId="150">'T150'!$1:$1</definedName>
    <definedName name="_xlnm._FilterDatabase" localSheetId="151" hidden="1">'T151'!$A$1:$E$5</definedName>
    <definedName name="_xlnm.Print_Titles" localSheetId="151">'T151'!$1:$1</definedName>
    <definedName name="_xlnm._FilterDatabase" localSheetId="152" hidden="1">'T152'!$A$1:$L$6</definedName>
    <definedName name="_xlnm.Print_Titles" localSheetId="152">'T152'!$1:$1</definedName>
    <definedName name="_xlnm._FilterDatabase" localSheetId="153" hidden="1">'T153'!$A$1:$L$6</definedName>
    <definedName name="_xlnm.Print_Titles" localSheetId="153">'T153'!$1:$1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6">
    <font>
      <name val="Calibri"/>
      <family val="2"/>
      <color theme="1"/>
      <sz val="11"/>
      <scheme val="minor"/>
    </font>
    <font>
      <name val="Calibri"/>
      <color rgb="00202B33"/>
      <sz val="11"/>
    </font>
    <font>
      <name val="Calibri"/>
      <b val="1"/>
      <color rgb="00FFFFFF"/>
      <sz val="11"/>
    </font>
    <font>
      <name val="Calibri"/>
      <sz val="11"/>
    </font>
    <font>
      <name val="Calibri"/>
      <family val="2"/>
      <color theme="10"/>
      <sz val="12"/>
      <scheme val="minor"/>
    </font>
    <font>
      <name val="Calibri"/>
      <color rgb="00176086"/>
      <sz val="11"/>
    </font>
  </fonts>
  <fills count="3">
    <fill>
      <patternFill/>
    </fill>
    <fill>
      <patternFill patternType="gray125"/>
    </fill>
    <fill>
      <patternFill patternType="solid">
        <fgColor rgb="001739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styles" Target="styles.xml" Id="rId155"/><Relationship Type="http://schemas.openxmlformats.org/officeDocument/2006/relationships/theme" Target="theme/theme1.xml" Id="rId1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/><Relationship Type="http://schemas.openxmlformats.org/officeDocument/2006/relationships/hyperlink" Target="#'T002'!A1" TargetMode="External" Id="rId2"/><Relationship Type="http://schemas.openxmlformats.org/officeDocument/2006/relationships/hyperlink" Target="#'T003'!A1" TargetMode="External" Id="rId3"/><Relationship Type="http://schemas.openxmlformats.org/officeDocument/2006/relationships/hyperlink" Target="#'T004'!A1" TargetMode="External" Id="rId4"/><Relationship Type="http://schemas.openxmlformats.org/officeDocument/2006/relationships/hyperlink" Target="#'T005'!A1" TargetMode="External" Id="rId5"/><Relationship Type="http://schemas.openxmlformats.org/officeDocument/2006/relationships/hyperlink" Target="#'T006'!A1" TargetMode="External" Id="rId6"/><Relationship Type="http://schemas.openxmlformats.org/officeDocument/2006/relationships/hyperlink" Target="#'T007'!A1" TargetMode="External" Id="rId7"/><Relationship Type="http://schemas.openxmlformats.org/officeDocument/2006/relationships/hyperlink" Target="#'T008'!A1" TargetMode="External" Id="rId8"/><Relationship Type="http://schemas.openxmlformats.org/officeDocument/2006/relationships/hyperlink" Target="#'T009'!A1" TargetMode="External" Id="rId9"/><Relationship Type="http://schemas.openxmlformats.org/officeDocument/2006/relationships/hyperlink" Target="#'T010'!A1" TargetMode="External" Id="rId10"/><Relationship Type="http://schemas.openxmlformats.org/officeDocument/2006/relationships/hyperlink" Target="#'T011'!A1" TargetMode="External" Id="rId11"/><Relationship Type="http://schemas.openxmlformats.org/officeDocument/2006/relationships/hyperlink" Target="#'T012'!A1" TargetMode="External" Id="rId12"/><Relationship Type="http://schemas.openxmlformats.org/officeDocument/2006/relationships/hyperlink" Target="#'T013'!A1" TargetMode="External" Id="rId13"/><Relationship Type="http://schemas.openxmlformats.org/officeDocument/2006/relationships/hyperlink" Target="#'T014'!A1" TargetMode="External" Id="rId14"/><Relationship Type="http://schemas.openxmlformats.org/officeDocument/2006/relationships/hyperlink" Target="#'T015'!A1" TargetMode="External" Id="rId15"/><Relationship Type="http://schemas.openxmlformats.org/officeDocument/2006/relationships/hyperlink" Target="#'T016'!A1" TargetMode="External" Id="rId16"/><Relationship Type="http://schemas.openxmlformats.org/officeDocument/2006/relationships/hyperlink" Target="#'T017'!A1" TargetMode="External" Id="rId17"/><Relationship Type="http://schemas.openxmlformats.org/officeDocument/2006/relationships/hyperlink" Target="#'T018'!A1" TargetMode="External" Id="rId18"/><Relationship Type="http://schemas.openxmlformats.org/officeDocument/2006/relationships/hyperlink" Target="#'T019'!A1" TargetMode="External" Id="rId19"/><Relationship Type="http://schemas.openxmlformats.org/officeDocument/2006/relationships/hyperlink" Target="#'T020'!A1" TargetMode="External" Id="rId20"/><Relationship Type="http://schemas.openxmlformats.org/officeDocument/2006/relationships/hyperlink" Target="#'T021'!A1" TargetMode="External" Id="rId21"/><Relationship Type="http://schemas.openxmlformats.org/officeDocument/2006/relationships/hyperlink" Target="#'T022'!A1" TargetMode="External" Id="rId22"/><Relationship Type="http://schemas.openxmlformats.org/officeDocument/2006/relationships/hyperlink" Target="#'T023'!A1" TargetMode="External" Id="rId23"/><Relationship Type="http://schemas.openxmlformats.org/officeDocument/2006/relationships/hyperlink" Target="#'T024'!A1" TargetMode="External" Id="rId24"/><Relationship Type="http://schemas.openxmlformats.org/officeDocument/2006/relationships/hyperlink" Target="#'T025'!A1" TargetMode="External" Id="rId25"/><Relationship Type="http://schemas.openxmlformats.org/officeDocument/2006/relationships/hyperlink" Target="#'T026'!A1" TargetMode="External" Id="rId26"/><Relationship Type="http://schemas.openxmlformats.org/officeDocument/2006/relationships/hyperlink" Target="#'T027'!A1" TargetMode="External" Id="rId27"/><Relationship Type="http://schemas.openxmlformats.org/officeDocument/2006/relationships/hyperlink" Target="#'T028'!A1" TargetMode="External" Id="rId28"/><Relationship Type="http://schemas.openxmlformats.org/officeDocument/2006/relationships/hyperlink" Target="#'T029'!A1" TargetMode="External" Id="rId29"/><Relationship Type="http://schemas.openxmlformats.org/officeDocument/2006/relationships/hyperlink" Target="#'T030'!A1" TargetMode="External" Id="rId30"/><Relationship Type="http://schemas.openxmlformats.org/officeDocument/2006/relationships/hyperlink" Target="#'T031'!A1" TargetMode="External" Id="rId31"/><Relationship Type="http://schemas.openxmlformats.org/officeDocument/2006/relationships/hyperlink" Target="#'T032'!A1" TargetMode="External" Id="rId32"/><Relationship Type="http://schemas.openxmlformats.org/officeDocument/2006/relationships/hyperlink" Target="#'T033'!A1" TargetMode="External" Id="rId33"/><Relationship Type="http://schemas.openxmlformats.org/officeDocument/2006/relationships/hyperlink" Target="#'T034'!A1" TargetMode="External" Id="rId34"/><Relationship Type="http://schemas.openxmlformats.org/officeDocument/2006/relationships/hyperlink" Target="#'T035'!A1" TargetMode="External" Id="rId35"/><Relationship Type="http://schemas.openxmlformats.org/officeDocument/2006/relationships/hyperlink" Target="#'T036'!A1" TargetMode="External" Id="rId36"/><Relationship Type="http://schemas.openxmlformats.org/officeDocument/2006/relationships/hyperlink" Target="#'T037'!A1" TargetMode="External" Id="rId37"/><Relationship Type="http://schemas.openxmlformats.org/officeDocument/2006/relationships/hyperlink" Target="#'T038'!A1" TargetMode="External" Id="rId38"/><Relationship Type="http://schemas.openxmlformats.org/officeDocument/2006/relationships/hyperlink" Target="#'T039'!A1" TargetMode="External" Id="rId39"/><Relationship Type="http://schemas.openxmlformats.org/officeDocument/2006/relationships/hyperlink" Target="#'T040'!A1" TargetMode="External" Id="rId40"/><Relationship Type="http://schemas.openxmlformats.org/officeDocument/2006/relationships/hyperlink" Target="#'T041'!A1" TargetMode="External" Id="rId41"/><Relationship Type="http://schemas.openxmlformats.org/officeDocument/2006/relationships/hyperlink" Target="#'T042'!A1" TargetMode="External" Id="rId42"/><Relationship Type="http://schemas.openxmlformats.org/officeDocument/2006/relationships/hyperlink" Target="#'T043'!A1" TargetMode="External" Id="rId43"/><Relationship Type="http://schemas.openxmlformats.org/officeDocument/2006/relationships/hyperlink" Target="#'T044'!A1" TargetMode="External" Id="rId44"/><Relationship Type="http://schemas.openxmlformats.org/officeDocument/2006/relationships/hyperlink" Target="#'T045'!A1" TargetMode="External" Id="rId45"/><Relationship Type="http://schemas.openxmlformats.org/officeDocument/2006/relationships/hyperlink" Target="#'T046'!A1" TargetMode="External" Id="rId46"/><Relationship Type="http://schemas.openxmlformats.org/officeDocument/2006/relationships/hyperlink" Target="#'T047'!A1" TargetMode="External" Id="rId47"/><Relationship Type="http://schemas.openxmlformats.org/officeDocument/2006/relationships/hyperlink" Target="#'T048'!A1" TargetMode="External" Id="rId48"/><Relationship Type="http://schemas.openxmlformats.org/officeDocument/2006/relationships/hyperlink" Target="#'T049'!A1" TargetMode="External" Id="rId49"/><Relationship Type="http://schemas.openxmlformats.org/officeDocument/2006/relationships/hyperlink" Target="#'T050'!A1" TargetMode="External" Id="rId50"/><Relationship Type="http://schemas.openxmlformats.org/officeDocument/2006/relationships/hyperlink" Target="#'T051'!A1" TargetMode="External" Id="rId51"/><Relationship Type="http://schemas.openxmlformats.org/officeDocument/2006/relationships/hyperlink" Target="#'T052'!A1" TargetMode="External" Id="rId52"/><Relationship Type="http://schemas.openxmlformats.org/officeDocument/2006/relationships/hyperlink" Target="#'T053'!A1" TargetMode="External" Id="rId53"/><Relationship Type="http://schemas.openxmlformats.org/officeDocument/2006/relationships/hyperlink" Target="#'T054'!A1" TargetMode="External" Id="rId54"/><Relationship Type="http://schemas.openxmlformats.org/officeDocument/2006/relationships/hyperlink" Target="#'T055'!A1" TargetMode="External" Id="rId55"/><Relationship Type="http://schemas.openxmlformats.org/officeDocument/2006/relationships/hyperlink" Target="#'T056'!A1" TargetMode="External" Id="rId56"/><Relationship Type="http://schemas.openxmlformats.org/officeDocument/2006/relationships/hyperlink" Target="#'T057'!A1" TargetMode="External" Id="rId57"/><Relationship Type="http://schemas.openxmlformats.org/officeDocument/2006/relationships/hyperlink" Target="#'T058'!A1" TargetMode="External" Id="rId58"/><Relationship Type="http://schemas.openxmlformats.org/officeDocument/2006/relationships/hyperlink" Target="#'T059'!A1" TargetMode="External" Id="rId59"/><Relationship Type="http://schemas.openxmlformats.org/officeDocument/2006/relationships/hyperlink" Target="#'T060'!A1" TargetMode="External" Id="rId60"/><Relationship Type="http://schemas.openxmlformats.org/officeDocument/2006/relationships/hyperlink" Target="#'T061'!A1" TargetMode="External" Id="rId61"/><Relationship Type="http://schemas.openxmlformats.org/officeDocument/2006/relationships/hyperlink" Target="#'T062'!A1" TargetMode="External" Id="rId62"/><Relationship Type="http://schemas.openxmlformats.org/officeDocument/2006/relationships/hyperlink" Target="#'T063'!A1" TargetMode="External" Id="rId63"/><Relationship Type="http://schemas.openxmlformats.org/officeDocument/2006/relationships/hyperlink" Target="#'T064'!A1" TargetMode="External" Id="rId64"/><Relationship Type="http://schemas.openxmlformats.org/officeDocument/2006/relationships/hyperlink" Target="#'T065'!A1" TargetMode="External" Id="rId65"/><Relationship Type="http://schemas.openxmlformats.org/officeDocument/2006/relationships/hyperlink" Target="#'T066'!A1" TargetMode="External" Id="rId66"/><Relationship Type="http://schemas.openxmlformats.org/officeDocument/2006/relationships/hyperlink" Target="#'T067'!A1" TargetMode="External" Id="rId67"/><Relationship Type="http://schemas.openxmlformats.org/officeDocument/2006/relationships/hyperlink" Target="#'T068'!A1" TargetMode="External" Id="rId68"/><Relationship Type="http://schemas.openxmlformats.org/officeDocument/2006/relationships/hyperlink" Target="#'T069'!A1" TargetMode="External" Id="rId69"/><Relationship Type="http://schemas.openxmlformats.org/officeDocument/2006/relationships/hyperlink" Target="#'T070'!A1" TargetMode="External" Id="rId70"/><Relationship Type="http://schemas.openxmlformats.org/officeDocument/2006/relationships/hyperlink" Target="#'T071'!A1" TargetMode="External" Id="rId71"/><Relationship Type="http://schemas.openxmlformats.org/officeDocument/2006/relationships/hyperlink" Target="#'T072'!A1" TargetMode="External" Id="rId72"/><Relationship Type="http://schemas.openxmlformats.org/officeDocument/2006/relationships/hyperlink" Target="#'T073'!A1" TargetMode="External" Id="rId73"/><Relationship Type="http://schemas.openxmlformats.org/officeDocument/2006/relationships/hyperlink" Target="#'T074'!A1" TargetMode="External" Id="rId74"/><Relationship Type="http://schemas.openxmlformats.org/officeDocument/2006/relationships/hyperlink" Target="#'T075'!A1" TargetMode="External" Id="rId75"/><Relationship Type="http://schemas.openxmlformats.org/officeDocument/2006/relationships/hyperlink" Target="#'T076'!A1" TargetMode="External" Id="rId76"/><Relationship Type="http://schemas.openxmlformats.org/officeDocument/2006/relationships/hyperlink" Target="#'T077'!A1" TargetMode="External" Id="rId77"/><Relationship Type="http://schemas.openxmlformats.org/officeDocument/2006/relationships/hyperlink" Target="#'T078'!A1" TargetMode="External" Id="rId78"/><Relationship Type="http://schemas.openxmlformats.org/officeDocument/2006/relationships/hyperlink" Target="#'T079'!A1" TargetMode="External" Id="rId79"/><Relationship Type="http://schemas.openxmlformats.org/officeDocument/2006/relationships/hyperlink" Target="#'T080'!A1" TargetMode="External" Id="rId80"/><Relationship Type="http://schemas.openxmlformats.org/officeDocument/2006/relationships/hyperlink" Target="#'T081'!A1" TargetMode="External" Id="rId81"/><Relationship Type="http://schemas.openxmlformats.org/officeDocument/2006/relationships/hyperlink" Target="#'T082'!A1" TargetMode="External" Id="rId82"/><Relationship Type="http://schemas.openxmlformats.org/officeDocument/2006/relationships/hyperlink" Target="#'T083'!A1" TargetMode="External" Id="rId83"/><Relationship Type="http://schemas.openxmlformats.org/officeDocument/2006/relationships/hyperlink" Target="#'T084'!A1" TargetMode="External" Id="rId84"/><Relationship Type="http://schemas.openxmlformats.org/officeDocument/2006/relationships/hyperlink" Target="#'T085'!A1" TargetMode="External" Id="rId85"/><Relationship Type="http://schemas.openxmlformats.org/officeDocument/2006/relationships/hyperlink" Target="#'T086'!A1" TargetMode="External" Id="rId86"/><Relationship Type="http://schemas.openxmlformats.org/officeDocument/2006/relationships/hyperlink" Target="#'T087'!A1" TargetMode="External" Id="rId87"/><Relationship Type="http://schemas.openxmlformats.org/officeDocument/2006/relationships/hyperlink" Target="#'T088'!A1" TargetMode="External" Id="rId88"/><Relationship Type="http://schemas.openxmlformats.org/officeDocument/2006/relationships/hyperlink" Target="#'T089'!A1" TargetMode="External" Id="rId89"/><Relationship Type="http://schemas.openxmlformats.org/officeDocument/2006/relationships/hyperlink" Target="#'T090'!A1" TargetMode="External" Id="rId90"/><Relationship Type="http://schemas.openxmlformats.org/officeDocument/2006/relationships/hyperlink" Target="#'T091'!A1" TargetMode="External" Id="rId91"/><Relationship Type="http://schemas.openxmlformats.org/officeDocument/2006/relationships/hyperlink" Target="#'T092'!A1" TargetMode="External" Id="rId92"/><Relationship Type="http://schemas.openxmlformats.org/officeDocument/2006/relationships/hyperlink" Target="#'T093'!A1" TargetMode="External" Id="rId93"/><Relationship Type="http://schemas.openxmlformats.org/officeDocument/2006/relationships/hyperlink" Target="#'T094'!A1" TargetMode="External" Id="rId94"/><Relationship Type="http://schemas.openxmlformats.org/officeDocument/2006/relationships/hyperlink" Target="#'T095'!A1" TargetMode="External" Id="rId95"/><Relationship Type="http://schemas.openxmlformats.org/officeDocument/2006/relationships/hyperlink" Target="#'T096'!A1" TargetMode="External" Id="rId96"/><Relationship Type="http://schemas.openxmlformats.org/officeDocument/2006/relationships/hyperlink" Target="#'T097'!A1" TargetMode="External" Id="rId97"/><Relationship Type="http://schemas.openxmlformats.org/officeDocument/2006/relationships/hyperlink" Target="#'T098'!A1" TargetMode="External" Id="rId98"/><Relationship Type="http://schemas.openxmlformats.org/officeDocument/2006/relationships/hyperlink" Target="#'T099'!A1" TargetMode="External" Id="rId99"/><Relationship Type="http://schemas.openxmlformats.org/officeDocument/2006/relationships/hyperlink" Target="#'T100'!A1" TargetMode="External" Id="rId100"/><Relationship Type="http://schemas.openxmlformats.org/officeDocument/2006/relationships/hyperlink" Target="#'T101'!A1" TargetMode="External" Id="rId101"/><Relationship Type="http://schemas.openxmlformats.org/officeDocument/2006/relationships/hyperlink" Target="#'T102'!A1" TargetMode="External" Id="rId102"/><Relationship Type="http://schemas.openxmlformats.org/officeDocument/2006/relationships/hyperlink" Target="#'T103'!A1" TargetMode="External" Id="rId103"/><Relationship Type="http://schemas.openxmlformats.org/officeDocument/2006/relationships/hyperlink" Target="#'T104'!A1" TargetMode="External" Id="rId104"/><Relationship Type="http://schemas.openxmlformats.org/officeDocument/2006/relationships/hyperlink" Target="#'T105'!A1" TargetMode="External" Id="rId105"/><Relationship Type="http://schemas.openxmlformats.org/officeDocument/2006/relationships/hyperlink" Target="#'T106'!A1" TargetMode="External" Id="rId106"/><Relationship Type="http://schemas.openxmlformats.org/officeDocument/2006/relationships/hyperlink" Target="#'T107'!A1" TargetMode="External" Id="rId107"/><Relationship Type="http://schemas.openxmlformats.org/officeDocument/2006/relationships/hyperlink" Target="#'T108'!A1" TargetMode="External" Id="rId108"/><Relationship Type="http://schemas.openxmlformats.org/officeDocument/2006/relationships/hyperlink" Target="#'T109'!A1" TargetMode="External" Id="rId109"/><Relationship Type="http://schemas.openxmlformats.org/officeDocument/2006/relationships/hyperlink" Target="#'T110'!A1" TargetMode="External" Id="rId110"/><Relationship Type="http://schemas.openxmlformats.org/officeDocument/2006/relationships/hyperlink" Target="#'T111'!A1" TargetMode="External" Id="rId111"/><Relationship Type="http://schemas.openxmlformats.org/officeDocument/2006/relationships/hyperlink" Target="#'T112'!A1" TargetMode="External" Id="rId112"/><Relationship Type="http://schemas.openxmlformats.org/officeDocument/2006/relationships/hyperlink" Target="#'T113'!A1" TargetMode="External" Id="rId113"/><Relationship Type="http://schemas.openxmlformats.org/officeDocument/2006/relationships/hyperlink" Target="#'T114'!A1" TargetMode="External" Id="rId114"/><Relationship Type="http://schemas.openxmlformats.org/officeDocument/2006/relationships/hyperlink" Target="#'T115'!A1" TargetMode="External" Id="rId115"/><Relationship Type="http://schemas.openxmlformats.org/officeDocument/2006/relationships/hyperlink" Target="#'T116'!A1" TargetMode="External" Id="rId116"/><Relationship Type="http://schemas.openxmlformats.org/officeDocument/2006/relationships/hyperlink" Target="#'T117'!A1" TargetMode="External" Id="rId117"/><Relationship Type="http://schemas.openxmlformats.org/officeDocument/2006/relationships/hyperlink" Target="#'T118'!A1" TargetMode="External" Id="rId118"/><Relationship Type="http://schemas.openxmlformats.org/officeDocument/2006/relationships/hyperlink" Target="#'T119'!A1" TargetMode="External" Id="rId119"/><Relationship Type="http://schemas.openxmlformats.org/officeDocument/2006/relationships/hyperlink" Target="#'T120'!A1" TargetMode="External" Id="rId120"/><Relationship Type="http://schemas.openxmlformats.org/officeDocument/2006/relationships/hyperlink" Target="#'T121'!A1" TargetMode="External" Id="rId121"/><Relationship Type="http://schemas.openxmlformats.org/officeDocument/2006/relationships/hyperlink" Target="#'T122'!A1" TargetMode="External" Id="rId122"/><Relationship Type="http://schemas.openxmlformats.org/officeDocument/2006/relationships/hyperlink" Target="#'T123'!A1" TargetMode="External" Id="rId123"/><Relationship Type="http://schemas.openxmlformats.org/officeDocument/2006/relationships/hyperlink" Target="#'T124'!A1" TargetMode="External" Id="rId124"/><Relationship Type="http://schemas.openxmlformats.org/officeDocument/2006/relationships/hyperlink" Target="#'T125'!A1" TargetMode="External" Id="rId125"/><Relationship Type="http://schemas.openxmlformats.org/officeDocument/2006/relationships/hyperlink" Target="#'T126'!A1" TargetMode="External" Id="rId126"/><Relationship Type="http://schemas.openxmlformats.org/officeDocument/2006/relationships/hyperlink" Target="#'T127'!A1" TargetMode="External" Id="rId127"/><Relationship Type="http://schemas.openxmlformats.org/officeDocument/2006/relationships/hyperlink" Target="#'T128'!A1" TargetMode="External" Id="rId128"/><Relationship Type="http://schemas.openxmlformats.org/officeDocument/2006/relationships/hyperlink" Target="#'T129'!A1" TargetMode="External" Id="rId129"/><Relationship Type="http://schemas.openxmlformats.org/officeDocument/2006/relationships/hyperlink" Target="#'T130'!A1" TargetMode="External" Id="rId130"/><Relationship Type="http://schemas.openxmlformats.org/officeDocument/2006/relationships/hyperlink" Target="#'T131'!A1" TargetMode="External" Id="rId131"/><Relationship Type="http://schemas.openxmlformats.org/officeDocument/2006/relationships/hyperlink" Target="#'T132'!A1" TargetMode="External" Id="rId132"/><Relationship Type="http://schemas.openxmlformats.org/officeDocument/2006/relationships/hyperlink" Target="#'T133'!A1" TargetMode="External" Id="rId133"/><Relationship Type="http://schemas.openxmlformats.org/officeDocument/2006/relationships/hyperlink" Target="#'T134'!A1" TargetMode="External" Id="rId134"/><Relationship Type="http://schemas.openxmlformats.org/officeDocument/2006/relationships/hyperlink" Target="#'T135'!A1" TargetMode="External" Id="rId135"/><Relationship Type="http://schemas.openxmlformats.org/officeDocument/2006/relationships/hyperlink" Target="#'T136'!A1" TargetMode="External" Id="rId136"/><Relationship Type="http://schemas.openxmlformats.org/officeDocument/2006/relationships/hyperlink" Target="#'T137'!A1" TargetMode="External" Id="rId137"/><Relationship Type="http://schemas.openxmlformats.org/officeDocument/2006/relationships/hyperlink" Target="#'T138'!A1" TargetMode="External" Id="rId138"/><Relationship Type="http://schemas.openxmlformats.org/officeDocument/2006/relationships/hyperlink" Target="#'T139'!A1" TargetMode="External" Id="rId139"/><Relationship Type="http://schemas.openxmlformats.org/officeDocument/2006/relationships/hyperlink" Target="#'T140'!A1" TargetMode="External" Id="rId140"/><Relationship Type="http://schemas.openxmlformats.org/officeDocument/2006/relationships/hyperlink" Target="#'T141'!A1" TargetMode="External" Id="rId141"/><Relationship Type="http://schemas.openxmlformats.org/officeDocument/2006/relationships/hyperlink" Target="#'T142'!A1" TargetMode="External" Id="rId142"/><Relationship Type="http://schemas.openxmlformats.org/officeDocument/2006/relationships/hyperlink" Target="#'T143'!A1" TargetMode="External" Id="rId143"/><Relationship Type="http://schemas.openxmlformats.org/officeDocument/2006/relationships/hyperlink" Target="#'T144'!A1" TargetMode="External" Id="rId144"/><Relationship Type="http://schemas.openxmlformats.org/officeDocument/2006/relationships/hyperlink" Target="#'T145'!A1" TargetMode="External" Id="rId145"/><Relationship Type="http://schemas.openxmlformats.org/officeDocument/2006/relationships/hyperlink" Target="#'T146'!A1" TargetMode="External" Id="rId146"/><Relationship Type="http://schemas.openxmlformats.org/officeDocument/2006/relationships/hyperlink" Target="#'T147'!A1" TargetMode="External" Id="rId147"/><Relationship Type="http://schemas.openxmlformats.org/officeDocument/2006/relationships/hyperlink" Target="#'T148'!A1" TargetMode="External" Id="rId148"/><Relationship Type="http://schemas.openxmlformats.org/officeDocument/2006/relationships/hyperlink" Target="#'T149'!A1" TargetMode="External" Id="rId149"/><Relationship Type="http://schemas.openxmlformats.org/officeDocument/2006/relationships/hyperlink" Target="#'T150'!A1" TargetMode="External" Id="rId150"/><Relationship Type="http://schemas.openxmlformats.org/officeDocument/2006/relationships/hyperlink" Target="#'T151'!A1" TargetMode="External" Id="rId151"/><Relationship Type="http://schemas.openxmlformats.org/officeDocument/2006/relationships/hyperlink" Target="#'T152'!A1" TargetMode="External" Id="rId152"/><Relationship Type="http://schemas.openxmlformats.org/officeDocument/2006/relationships/hyperlink" Target="#'T153'!A1" TargetMode="External" Id="rId1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0" customWidth="1" min="3" max="3"/>
  </cols>
  <sheetData>
    <row r="1" ht="30" customHeight="1">
      <c r="A1" s="1" t="inlineStr">
        <is>
          <t>ТАБЛИЦЫ ПОЛНОГО КУРСА ЭКОНОМИКИ</t>
        </is>
      </c>
      <c r="B1" s="1" t="n"/>
      <c r="C1" s="1" t="n"/>
    </row>
    <row r="2" ht="30" customHeight="1">
      <c r="A2" s="1" t="inlineStr">
        <is>
          <t>153 таблицы; обезличенные самостоятельные учебные сценарии.</t>
        </is>
      </c>
      <c r="B2" s="1" t="n"/>
      <c r="C2" s="1" t="n"/>
    </row>
    <row r="3" ht="30" customHeight="1">
      <c r="A3" s="1" t="inlineStr">
        <is>
          <t>Формулы используют только данные своего листа; входы можно менять.</t>
        </is>
      </c>
      <c r="B3" s="1" t="n"/>
      <c r="C3" s="1" t="n"/>
    </row>
    <row r="4" ht="30" customHeight="1">
      <c r="A4" s="1" t="inlineStr">
        <is>
          <t>Численные расчёты проверены независимым ограниченным Python-вычислителем.</t>
        </is>
      </c>
      <c r="B4" s="1" t="n"/>
      <c r="C4" s="1" t="n"/>
    </row>
    <row r="5" ht="30" customHeight="1">
      <c r="A5" s="1" t="inlineStr">
        <is>
          <t>Налоги, тарифы, пороги и нормы — условные параметры, если не дано иное основание.</t>
        </is>
      </c>
      <c r="B5" s="1" t="n"/>
      <c r="C5" s="1" t="n"/>
    </row>
    <row r="6" ht="30" customHeight="1">
      <c r="A6" s="1" t="inlineStr">
        <is>
          <t>Цена отклонения не является доказанным ущербом; смотрите пояснения после таблиц.</t>
        </is>
      </c>
      <c r="B6" s="1" t="n"/>
      <c r="C6" s="1" t="n"/>
    </row>
    <row r="7" ht="30" customHeight="1">
      <c r="A7" s="1" t="inlineStr">
        <is>
          <t>Доли в ячейках хранятся десятичными дробями: 0,12 = 12%.</t>
        </is>
      </c>
      <c r="B7" s="1" t="n"/>
      <c r="C7" s="1" t="n"/>
    </row>
    <row r="8" ht="30" customHeight="1">
      <c r="A8" s="1" t="inlineStr">
        <is>
          <t>Напечатанные в заголовке процентные пункты и значения 12/14 — отдельный масштаб.</t>
        </is>
      </c>
      <c r="B8" s="1" t="n"/>
      <c r="C8" s="1" t="n"/>
    </row>
    <row r="9" ht="30" customHeight="1">
      <c r="A9" s="1" t="inlineStr">
        <is>
          <t>Каждый сценарий имеет собственный бюджет: не суммируйте разные примеры.</t>
        </is>
      </c>
      <c r="B9" s="1" t="n"/>
      <c r="C9" s="1" t="n"/>
    </row>
    <row r="10" ht="30" customHeight="1">
      <c r="A10" s="1" t="n"/>
      <c r="B10" s="1" t="n"/>
      <c r="C10" s="1" t="n"/>
    </row>
    <row r="11" ht="30" customHeight="1">
      <c r="A11" s="1" t="inlineStr">
        <is>
          <t>Лист</t>
        </is>
      </c>
      <c r="B11" s="1" t="inlineStr">
        <is>
          <t>Исходный урок</t>
        </is>
      </c>
      <c r="C11" s="1" t="inlineStr">
        <is>
          <t>Примечание</t>
        </is>
      </c>
    </row>
    <row r="12" ht="44" customHeight="1">
      <c r="A12" s="2" t="inlineStr">
        <is>
          <t>T001</t>
        </is>
      </c>
      <c r="B12" s="1" t="inlineStr">
        <is>
          <t>1.1</t>
        </is>
      </c>
      <c r="C12" s="1" t="inlineStr">
        <is>
          <t>Учебный сценарий</t>
        </is>
      </c>
    </row>
    <row r="13" ht="44" customHeight="1">
      <c r="A13" s="2" t="inlineStr">
        <is>
          <t>T002</t>
        </is>
      </c>
      <c r="B13" s="1" t="inlineStr">
        <is>
          <t>1.1</t>
        </is>
      </c>
      <c r="C13" s="1" t="inlineStr">
        <is>
          <t>Учебный сценарий</t>
        </is>
      </c>
    </row>
    <row r="14" ht="44" customHeight="1">
      <c r="A14" s="2" t="inlineStr">
        <is>
          <t>T003</t>
        </is>
      </c>
      <c r="B14" s="1" t="inlineStr">
        <is>
          <t>1.2</t>
        </is>
      </c>
      <c r="C14" s="1" t="inlineStr">
        <is>
          <t>Учебный сценарий</t>
        </is>
      </c>
    </row>
    <row r="15" ht="44" customHeight="1">
      <c r="A15" s="2" t="inlineStr">
        <is>
          <t>T004</t>
        </is>
      </c>
      <c r="B15" s="1" t="inlineStr">
        <is>
          <t>1.2</t>
        </is>
      </c>
      <c r="C15" s="1" t="inlineStr">
        <is>
          <t>Учебный сценарий</t>
        </is>
      </c>
    </row>
    <row r="16" ht="44" customHeight="1">
      <c r="A16" s="2" t="inlineStr">
        <is>
          <t>T005</t>
        </is>
      </c>
      <c r="B16" s="1" t="inlineStr">
        <is>
          <t>1.3</t>
        </is>
      </c>
      <c r="C16" s="1" t="inlineStr">
        <is>
          <t>Учебный сценарий</t>
        </is>
      </c>
    </row>
    <row r="17" ht="44" customHeight="1">
      <c r="A17" s="2" t="inlineStr">
        <is>
          <t>T006</t>
        </is>
      </c>
      <c r="B17" s="1" t="inlineStr">
        <is>
          <t>1.4</t>
        </is>
      </c>
      <c r="C17" s="1" t="inlineStr">
        <is>
          <t>Учебный сценарий</t>
        </is>
      </c>
    </row>
    <row r="18" ht="44" customHeight="1">
      <c r="A18" s="2" t="inlineStr">
        <is>
          <t>T007</t>
        </is>
      </c>
      <c r="B18" s="1" t="inlineStr">
        <is>
          <t>1.4</t>
        </is>
      </c>
      <c r="C18" s="1" t="inlineStr">
        <is>
          <t>Дуговая эластичность рассчитана по средней точке. Единицы количества: удобрения — т, дизель — л, семена — кг. Наблюдаемая связь не идентифицирует причинную кривую спроса.</t>
        </is>
      </c>
    </row>
    <row r="19" ht="44" customHeight="1">
      <c r="A19" s="2" t="inlineStr">
        <is>
          <t>T008</t>
        </is>
      </c>
      <c r="B19" s="1" t="inlineStr">
        <is>
          <t>1.5</t>
        </is>
      </c>
      <c r="C19" s="1" t="inlineStr">
        <is>
          <t>Учебный сценарий</t>
        </is>
      </c>
    </row>
    <row r="20" ht="44" customHeight="1">
      <c r="A20" s="2" t="inlineStr">
        <is>
          <t>T009</t>
        </is>
      </c>
      <c r="B20" s="1" t="inlineStr">
        <is>
          <t>1.6</t>
        </is>
      </c>
      <c r="C20" s="1" t="inlineStr">
        <is>
          <t>Учебный сценарий</t>
        </is>
      </c>
    </row>
    <row r="21" ht="44" customHeight="1">
      <c r="A21" s="2" t="inlineStr">
        <is>
          <t>T010</t>
        </is>
      </c>
      <c r="B21" s="1" t="inlineStr">
        <is>
          <t>1.6</t>
        </is>
      </c>
      <c r="C21" s="1" t="inlineStr">
        <is>
          <t>CR3 — сумма трёх долей. Частичный HHI не включает прочих поставщиков. Концентрация сама по себе не доказывает сговор; границы рынка и регуляторные пороги требуют отдельного обоснования.</t>
        </is>
      </c>
    </row>
    <row r="22" ht="44" customHeight="1">
      <c r="A22" s="2" t="inlineStr">
        <is>
          <t>T011</t>
        </is>
      </c>
      <c r="B22" s="1" t="inlineStr">
        <is>
          <t>1.7</t>
        </is>
      </c>
      <c r="C22" s="1" t="inlineStr">
        <is>
          <t>Ставки в исходных ячейках 12 и 14 делятся на 100. Столбец G выражает будущую сумму в ценах базового года; он не заменяет финансовое дисконтирование E. Отсрочка выгодна только после сравнения с альтернативой.</t>
        </is>
      </c>
    </row>
    <row r="23" ht="44" customHeight="1">
      <c r="A23" s="2" t="inlineStr">
        <is>
          <t>T012</t>
        </is>
      </c>
      <c r="B23" s="1" t="inlineStr">
        <is>
          <t>2.1</t>
        </is>
      </c>
      <c r="C23" s="1" t="inlineStr">
        <is>
          <t>Исправлены ссылки строк, подытоги и доли. Итого 18 798 сомони/га; удобрения 450 × 6,76 = 3 042. Обозначение VC здесь относится преимущественно к площади, а не к урожаю: при изменении урожайности фиксированная норма затрат на гектар не меняется автоматически.</t>
        </is>
      </c>
    </row>
    <row r="24" ht="44" customHeight="1">
      <c r="A24" s="2" t="inlineStr">
        <is>
          <t>T013</t>
        </is>
      </c>
      <c r="B24" s="1" t="inlineStr">
        <is>
          <t>2.1</t>
        </is>
      </c>
      <c r="C24" s="1" t="inlineStr">
        <is>
          <t>Исправлены ссылки строк, подытоги и доли. Итого 18 798 сомони/га; удобрения 450 × 6,76 = 3 042. Обозначение VC здесь относится преимущественно к площади, а не к урожаю: при изменении урожайности фиксированная норма затрат на гектар не меняется автоматически.</t>
        </is>
      </c>
    </row>
    <row r="25" ht="44" customHeight="1">
      <c r="A25" s="2" t="inlineStr">
        <is>
          <t>T014</t>
        </is>
      </c>
      <c r="B25" s="1" t="inlineStr">
        <is>
          <t>2.2</t>
        </is>
      </c>
      <c r="C25" s="1" t="inlineStr">
        <is>
          <t>Учебный сценарий</t>
        </is>
      </c>
    </row>
    <row r="26" ht="44" customHeight="1">
      <c r="A26" s="2" t="inlineStr">
        <is>
          <t>T015</t>
        </is>
      </c>
      <c r="B26" s="1" t="inlineStr">
        <is>
          <t>2.3</t>
        </is>
      </c>
      <c r="C26" s="1" t="inlineStr">
        <is>
          <t>Учебный сценарий</t>
        </is>
      </c>
    </row>
    <row r="27" ht="44" customHeight="1">
      <c r="A27" s="2" t="inlineStr">
        <is>
          <t>T016</t>
        </is>
      </c>
      <c r="B27" s="1" t="inlineStr">
        <is>
          <t>2.3</t>
        </is>
      </c>
      <c r="C27" s="1" t="inlineStr">
        <is>
          <t>Учебный сценарий</t>
        </is>
      </c>
    </row>
    <row r="28" ht="44" customHeight="1">
      <c r="A28" s="2" t="inlineStr">
        <is>
          <t>T017</t>
        </is>
      </c>
      <c r="B28" s="1" t="inlineStr">
        <is>
          <t>2.4</t>
        </is>
      </c>
      <c r="C28" s="1" t="inlineStr">
        <is>
          <t>Учебные технологические нормативы не заменяют локальную технологическую карту. Сумма топлива и зарплаты не является полной стоимостью: дополнительно учитываются ремонт, амортизация и другие релевантные расходы.</t>
        </is>
      </c>
    </row>
    <row r="29" ht="44" customHeight="1">
      <c r="A29" s="2" t="inlineStr">
        <is>
          <t>T018</t>
        </is>
      </c>
      <c r="B29" s="1" t="inlineStr">
        <is>
          <t>2.4</t>
        </is>
      </c>
      <c r="C29" s="1" t="inlineStr">
        <is>
          <t>Учебные технологические нормативы не заменяют локальную технологическую карту. Сумма топлива и зарплаты не является полной стоимостью: дополнительно учитываются ремонт, амортизация и другие релевантные расходы.</t>
        </is>
      </c>
    </row>
    <row r="30" ht="44" customHeight="1">
      <c r="A30" s="2" t="inlineStr">
        <is>
          <t>T019</t>
        </is>
      </c>
      <c r="B30" s="1" t="inlineStr">
        <is>
          <t>2.5</t>
        </is>
      </c>
      <c r="C30" s="1" t="inlineStr">
        <is>
          <t>Учебный сценарий</t>
        </is>
      </c>
    </row>
    <row r="31" ht="44" customHeight="1">
      <c r="A31" s="2" t="inlineStr">
        <is>
          <t>T020</t>
        </is>
      </c>
      <c r="B31" s="1" t="inlineStr">
        <is>
          <t>2.6</t>
        </is>
      </c>
      <c r="C31" s="1" t="inlineStr">
        <is>
          <t>Таблица задаёт условный договорный линейный вычет: превышение влажности над 8% плюс превышение засора над 3%, в процентных пунктах. Это учебное условие договора, а не универсальная формула сохранения сухого вещества. Физическую модель качества см. в математическом дополнении.</t>
        </is>
      </c>
    </row>
    <row r="32" ht="44" customHeight="1">
      <c r="A32" s="2" t="inlineStr">
        <is>
          <t>T021</t>
        </is>
      </c>
      <c r="B32" s="1" t="inlineStr">
        <is>
          <t>3.1</t>
        </is>
      </c>
      <c r="C32" s="1" t="inlineStr">
        <is>
          <t>Выручка 24 000 минус себестоимость продаж 18 000 = валовая прибыль 6 000 тыс. сомони. Для чистой прибыли нужны другие расходы и налоги. Дебиторка 10 000 предполагает нулевой начальный долг, отсутствие авансов и поступления только по показанным продажам. Поток −2000 — изменение, не остаток денег.</t>
        </is>
      </c>
    </row>
    <row r="33" ht="44" customHeight="1">
      <c r="A33" s="2" t="inlineStr">
        <is>
          <t>T022</t>
        </is>
      </c>
      <c r="B33" s="1" t="inlineStr">
        <is>
          <t>3.1</t>
        </is>
      </c>
      <c r="C33" s="1" t="inlineStr">
        <is>
          <t>Выручка 24 000 минус себестоимость продаж 18 000 = валовая прибыль 6 000 тыс. сомони. Для чистой прибыли нужны другие расходы и налоги. Дебиторка 10 000 предполагает нулевой начальный долг, отсутствие авансов и поступления только по показанным продажам. Поток −2000 — изменение, не остаток денег.</t>
        </is>
      </c>
    </row>
    <row r="34" ht="44" customHeight="1">
      <c r="A34" s="2" t="inlineStr">
        <is>
          <t>T023</t>
        </is>
      </c>
      <c r="B34" s="1" t="inlineStr">
        <is>
          <t>3.2</t>
        </is>
      </c>
      <c r="C34" s="1" t="inlineStr">
        <is>
          <t>Поступления и выплаты суммируются за год. Остатки денег не суммируются: показываются начало года и конец декабря. Исправлены ссылки на строки и переходящий остаток.</t>
        </is>
      </c>
    </row>
    <row r="35" ht="44" customHeight="1">
      <c r="A35" s="2" t="inlineStr">
        <is>
          <t>T024</t>
        </is>
      </c>
      <c r="B35" s="1" t="inlineStr">
        <is>
          <t>3.2</t>
        </is>
      </c>
      <c r="C35" s="1" t="inlineStr">
        <is>
          <t>Поступления и выплаты суммируются за год. Остатки денег не суммируются: показываются начало года и конец декабря. Исправлены ссылки на строки и переходящий остаток.</t>
        </is>
      </c>
    </row>
    <row r="36" ht="44" customHeight="1">
      <c r="A36" s="2" t="inlineStr">
        <is>
          <t>T025</t>
        </is>
      </c>
      <c r="B36" s="1" t="inlineStr">
        <is>
          <t>3.3</t>
        </is>
      </c>
      <c r="C36" s="1" t="inlineStr">
        <is>
          <t>Учебный сценарий</t>
        </is>
      </c>
    </row>
    <row r="37" ht="44" customHeight="1">
      <c r="A37" s="2" t="inlineStr">
        <is>
          <t>T026</t>
        </is>
      </c>
      <c r="B37" s="1" t="inlineStr">
        <is>
          <t>3.3</t>
        </is>
      </c>
      <c r="C37" s="1" t="inlineStr">
        <is>
          <t>Учебный сценарий</t>
        </is>
      </c>
    </row>
    <row r="38" ht="44" customHeight="1">
      <c r="A38" s="2" t="inlineStr">
        <is>
          <t>T027</t>
        </is>
      </c>
      <c r="B38" s="1" t="inlineStr">
        <is>
          <t>3.3</t>
        </is>
      </c>
      <c r="C38" s="1" t="inlineStr">
        <is>
          <t>Учебный сценарий</t>
        </is>
      </c>
    </row>
    <row r="39" ht="44" customHeight="1">
      <c r="A39" s="2" t="inlineStr">
        <is>
          <t>T028</t>
        </is>
      </c>
      <c r="B39" s="1" t="inlineStr">
        <is>
          <t>3.4</t>
        </is>
      </c>
      <c r="C39" s="1" t="inlineStr">
        <is>
          <t>Учебный сценарий</t>
        </is>
      </c>
    </row>
    <row r="40" ht="44" customHeight="1">
      <c r="A40" s="2" t="inlineStr">
        <is>
          <t>T029</t>
        </is>
      </c>
      <c r="B40" s="1" t="inlineStr">
        <is>
          <t>3.4</t>
        </is>
      </c>
      <c r="C40" s="1" t="inlineStr">
        <is>
          <t>Учебный сценарий</t>
        </is>
      </c>
    </row>
    <row r="41" ht="44" customHeight="1">
      <c r="A41" s="2" t="inlineStr">
        <is>
          <t>T030</t>
        </is>
      </c>
      <c r="B41" s="1" t="inlineStr">
        <is>
          <t>3.5</t>
        </is>
      </c>
      <c r="C41" s="1" t="inlineStr">
        <is>
          <t>Пороговые значения — учебные управленческие ориентиры, не норматив достаточности для любой отрасли. DIO и DSO используют средние остатки; DPO желательно рассчитывать по закупкам в кредит. Сопоставляйте сезон и учётную политику. Валовая, операционная и чистая прибыль имеют разные числители рентабельности.</t>
        </is>
      </c>
    </row>
    <row r="42" ht="44" customHeight="1">
      <c r="A42" s="2" t="inlineStr">
        <is>
          <t>T031</t>
        </is>
      </c>
      <c r="B42" s="1" t="inlineStr">
        <is>
          <t>3.5</t>
        </is>
      </c>
      <c r="C42" s="1" t="inlineStr">
        <is>
          <t>Пороговые значения — учебные управленческие ориентиры, не норматив достаточности для любой отрасли. DIO и DSO используют средние остатки; DPO желательно рассчитывать по закупкам в кредит. Сопоставляйте сезон и учётную политику. Валовая, операционная и чистая прибыль имеют разные числители рентабельности.</t>
        </is>
      </c>
    </row>
    <row r="43" ht="44" customHeight="1">
      <c r="A43" s="2" t="inlineStr">
        <is>
          <t>T032</t>
        </is>
      </c>
      <c r="B43" s="1" t="inlineStr">
        <is>
          <t>3.5</t>
        </is>
      </c>
      <c r="C43" s="1" t="inlineStr">
        <is>
          <t>Пороговые значения — учебные управленческие ориентиры, не норматив достаточности для любой отрасли. DIO и DSO используют средние остатки; DPO желательно рассчитывать по закупкам в кредит. Сопоставляйте сезон и учётную политику. Валовая, операционная и чистая прибыль имеют разные числители рентабельности.</t>
        </is>
      </c>
    </row>
    <row r="44" ht="44" customHeight="1">
      <c r="A44" s="2" t="inlineStr">
        <is>
          <t>T033</t>
        </is>
      </c>
      <c r="B44" s="1" t="inlineStr">
        <is>
          <t>4.1</t>
        </is>
      </c>
      <c r="C44" s="1" t="inlineStr">
        <is>
          <t>Учебный сценарий</t>
        </is>
      </c>
    </row>
    <row r="45" ht="44" customHeight="1">
      <c r="A45" s="2" t="inlineStr">
        <is>
          <t>T034</t>
        </is>
      </c>
      <c r="B45" s="1" t="inlineStr">
        <is>
          <t>4.1</t>
        </is>
      </c>
      <c r="C45" s="1" t="inlineStr">
        <is>
          <t>EAC — эквивалентные годовые затраты: аннуитет приведённой стоимости покупки за вычетом дисконтированной остаточной стоимости плюс ежегодные операционные затраты. Амортизация показана справочно и повторно в EAC не добавляется. Налоги и изменение OPEX не заданы.</t>
        </is>
      </c>
    </row>
    <row r="46" ht="44" customHeight="1">
      <c r="A46" s="2" t="inlineStr">
        <is>
          <t>T035</t>
        </is>
      </c>
      <c r="B46" s="1" t="inlineStr">
        <is>
          <t>4.1</t>
        </is>
      </c>
      <c r="C46" s="1" t="inlineStr">
        <is>
          <t>EAC — эквивалентные годовые затраты: аннуитет приведённой стоимости покупки за вычетом дисконтированной остаточной стоимости плюс ежегодные операционные затраты. Амортизация показана справочно и повторно в EAC не добавляется. Налоги и изменение OPEX не заданы.</t>
        </is>
      </c>
    </row>
    <row r="47" ht="44" customHeight="1">
      <c r="A47" s="2" t="inlineStr">
        <is>
          <t>T036</t>
        </is>
      </c>
      <c r="B47" s="1" t="inlineStr">
        <is>
          <t>4.2</t>
        </is>
      </c>
      <c r="C47" s="1" t="inlineStr">
        <is>
          <t>Промежуточные коэффициенты не округляют перед суммированием: NPV = 4 203 232,65 сомони. Поток 1,5 млн/год — условный чистый прирост денег после операционных расходов, не выручка машины. Требуется проверка мощности и сезонной загрузки.</t>
        </is>
      </c>
    </row>
    <row r="48" ht="44" customHeight="1">
      <c r="A48" s="2" t="inlineStr">
        <is>
          <t>T037</t>
        </is>
      </c>
      <c r="B48" s="1" t="inlineStr">
        <is>
          <t>4.2</t>
        </is>
      </c>
      <c r="C48" s="1" t="inlineStr">
        <is>
          <t>Промежуточные коэффициенты не округляют перед суммированием: NPV = 4 203 232,65 сомони. Поток 1,5 млн/год — условный чистый прирост денег после операционных расходов, не выручка машины. Требуется проверка мощности и сезонной загрузки.</t>
        </is>
      </c>
    </row>
    <row r="49" ht="44" customHeight="1">
      <c r="A49" s="2" t="inlineStr">
        <is>
          <t>T038</t>
        </is>
      </c>
      <c r="B49" s="1" t="inlineStr">
        <is>
          <t>4.2</t>
        </is>
      </c>
      <c r="C49" s="1" t="inlineStr">
        <is>
          <t>Промежуточные коэффициенты не округляют перед суммированием: NPV = 4 203 232,65 сомони. Поток 1,5 млн/год — условный чистый прирост денег после операционных расходов, не выручка машины. Требуется проверка мощности и сезонной загрузки.</t>
        </is>
      </c>
    </row>
    <row r="50" ht="44" customHeight="1">
      <c r="A50" s="2" t="inlineStr">
        <is>
          <t>T039</t>
        </is>
      </c>
      <c r="B50" s="1" t="inlineStr">
        <is>
          <t>4.3</t>
        </is>
      </c>
      <c r="C50" s="1" t="inlineStr">
        <is>
          <t>Сравнение приведено к одному горизонту 10 лет и ставке 15%. Ежегодную амортизацию нельзя складывать с полным CAPEX. При ограничении мощности, поломках и стоимости финансирования входные данные меняются.</t>
        </is>
      </c>
    </row>
    <row r="51" ht="44" customHeight="1">
      <c r="A51" s="2" t="inlineStr">
        <is>
          <t>T040</t>
        </is>
      </c>
      <c r="B51" s="1" t="inlineStr">
        <is>
          <t>4.3</t>
        </is>
      </c>
      <c r="C51" s="1" t="inlineStr">
        <is>
          <t>Сравнение приведено к одному горизонту 10 лет и ставке 15%. Ежегодную амортизацию нельзя складывать с полным CAPEX. При ограничении мощности, поломках и стоимости финансирования входные данные меняются.</t>
        </is>
      </c>
    </row>
    <row r="52" ht="44" customHeight="1">
      <c r="A52" s="2" t="inlineStr">
        <is>
          <t>T041</t>
        </is>
      </c>
      <c r="B52" s="1" t="inlineStr">
        <is>
          <t>4.4</t>
        </is>
      </c>
      <c r="C52" s="1" t="inlineStr">
        <is>
          <t>Удалены случайно присоединённые к числам номера ссылок. Сценарии не снабжены вероятностями; их нельзя усреднять как прогноз без дополнительных допущений.</t>
        </is>
      </c>
    </row>
    <row r="53" ht="44" customHeight="1">
      <c r="A53" s="2" t="inlineStr">
        <is>
          <t>T042</t>
        </is>
      </c>
      <c r="B53" s="1" t="inlineStr">
        <is>
          <t>4.4</t>
        </is>
      </c>
      <c r="C53" s="1" t="inlineStr">
        <is>
          <t>Для первых пяти строк отклонения — доли к базовому сценарию; для итоговой денежной строки — сомони. Исправлено смешение уровня результата и изменения результата.</t>
        </is>
      </c>
    </row>
    <row r="54" ht="44" customHeight="1">
      <c r="A54" s="2" t="inlineStr">
        <is>
          <t>T043</t>
        </is>
      </c>
      <c r="B54" s="1" t="inlineStr">
        <is>
          <t>4.4</t>
        </is>
      </c>
      <c r="C54" s="1" t="inlineStr">
        <is>
          <t>Для первых пяти строк отклонения — доли к базовому сценарию; для итоговой денежной строки — сомони. Исправлено смешение уровня результата и изменения результата.</t>
        </is>
      </c>
    </row>
    <row r="55" ht="44" customHeight="1">
      <c r="A55" s="2" t="inlineStr">
        <is>
          <t>T044</t>
        </is>
      </c>
      <c r="B55" s="1" t="inlineStr">
        <is>
          <t>5.1</t>
        </is>
      </c>
      <c r="C55" s="1" t="inlineStr">
        <is>
          <t>Ценовое отклонение не доказывает откат. Сравнение требует одной даты, качества, валюты, доставки, налогов и условий оплаты. Надбавка 20% × месяцы/12 — упрощённая модель финансирования. Итоговый индекс взвешен по базовой стоимости закупок.</t>
        </is>
      </c>
    </row>
    <row r="56" ht="44" customHeight="1">
      <c r="A56" s="2" t="inlineStr">
        <is>
          <t>T045</t>
        </is>
      </c>
      <c r="B56" s="1" t="inlineStr">
        <is>
          <t>5.1</t>
        </is>
      </c>
      <c r="C56" s="1" t="inlineStr">
        <is>
          <t>Ценовое отклонение не доказывает откат. Сравнение требует одной даты, качества, валюты, доставки, налогов и условий оплаты. Надбавка 20% × месяцы/12 — упрощённая модель финансирования. Итоговый индекс взвешен по базовой стоимости закупок.</t>
        </is>
      </c>
    </row>
    <row r="57" ht="44" customHeight="1">
      <c r="A57" s="2" t="inlineStr">
        <is>
          <t>T046</t>
        </is>
      </c>
      <c r="B57" s="1" t="inlineStr">
        <is>
          <t>5.1</t>
        </is>
      </c>
      <c r="C57" s="1" t="inlineStr">
        <is>
          <t>Ценовое отклонение не доказывает откат. Сравнение требует одной даты, качества, валюты, доставки, налогов и условий оплаты. Надбавка 20% × месяцы/12 — упрощённая модель финансирования. Итоговый индекс взвешен по базовой стоимости закупок.</t>
        </is>
      </c>
    </row>
    <row r="58" ht="44" customHeight="1">
      <c r="A58" s="2" t="inlineStr">
        <is>
          <t>T047</t>
        </is>
      </c>
      <c r="B58" s="1" t="inlineStr">
        <is>
          <t>5.2</t>
        </is>
      </c>
      <c r="C58" s="1" t="inlineStr">
        <is>
          <t>Учебный сценарий</t>
        </is>
      </c>
    </row>
    <row r="59" ht="44" customHeight="1">
      <c r="A59" s="2" t="inlineStr">
        <is>
          <t>T048</t>
        </is>
      </c>
      <c r="B59" s="1" t="inlineStr">
        <is>
          <t>5.2</t>
        </is>
      </c>
      <c r="C59" s="1" t="inlineStr">
        <is>
          <t>Учебный сценарий</t>
        </is>
      </c>
    </row>
    <row r="60" ht="44" customHeight="1">
      <c r="A60" s="2" t="inlineStr">
        <is>
          <t>T049</t>
        </is>
      </c>
      <c r="B60" s="1" t="inlineStr">
        <is>
          <t>5.3</t>
        </is>
      </c>
      <c r="C60" s="1" t="inlineStr">
        <is>
          <t>Учебный сценарий</t>
        </is>
      </c>
    </row>
    <row r="61" ht="44" customHeight="1">
      <c r="A61" s="2" t="inlineStr">
        <is>
          <t>T050</t>
        </is>
      </c>
      <c r="B61" s="1" t="inlineStr">
        <is>
          <t>5.3</t>
        </is>
      </c>
      <c r="C61" s="1" t="inlineStr">
        <is>
          <t>Учебный сценарий</t>
        </is>
      </c>
    </row>
    <row r="62" ht="44" customHeight="1">
      <c r="A62" s="2" t="inlineStr">
        <is>
          <t>T051</t>
        </is>
      </c>
      <c r="B62" s="1" t="inlineStr">
        <is>
          <t>5.3</t>
        </is>
      </c>
      <c r="C62" s="1" t="inlineStr">
        <is>
          <t>Учебный сценарий</t>
        </is>
      </c>
    </row>
    <row r="63" ht="44" customHeight="1">
      <c r="A63" s="2" t="inlineStr">
        <is>
          <t>T052</t>
        </is>
      </c>
      <c r="B63" s="1" t="inlineStr">
        <is>
          <t>5.4</t>
        </is>
      </c>
      <c r="C63" s="1" t="inlineStr">
        <is>
          <t>ПР 400-ОД рассматривается как условное название внутреннего регламента. Пороги 5/10 — учебные, не закон и не проверенная скоринговая модель. Низкий счёт не подтверждает благонадёжность; учитывайте полноту анкеты.</t>
        </is>
      </c>
    </row>
    <row r="64" ht="44" customHeight="1">
      <c r="A64" s="2" t="inlineStr">
        <is>
          <t>T053</t>
        </is>
      </c>
      <c r="B64" s="1" t="inlineStr">
        <is>
          <t>5.4</t>
        </is>
      </c>
      <c r="C64" s="1" t="inlineStr">
        <is>
          <t>ПР 400-ОД рассматривается как условное название внутреннего регламента. Пороги 5/10 — учебные, не закон и не проверенная скоринговая модель. Низкий счёт не подтверждает благонадёжность; учитывайте полноту анкеты.</t>
        </is>
      </c>
    </row>
    <row r="65" ht="44" customHeight="1">
      <c r="A65" s="2" t="inlineStr">
        <is>
          <t>T054</t>
        </is>
      </c>
      <c r="B65" s="1" t="inlineStr">
        <is>
          <t>5.4</t>
        </is>
      </c>
      <c r="C65" s="1" t="inlineStr">
        <is>
          <t>ПР 400-ОД рассматривается как условное название внутреннего регламента. Пороги 5/10 — учебные, не закон и не проверенная скоринговая модель. Низкий счёт не подтверждает благонадёжность; учитывайте полноту анкеты.</t>
        </is>
      </c>
    </row>
    <row r="66" ht="44" customHeight="1">
      <c r="A66" s="2" t="inlineStr">
        <is>
          <t>T055</t>
        </is>
      </c>
      <c r="B66" s="1" t="inlineStr">
        <is>
          <t>5.5</t>
        </is>
      </c>
      <c r="C66" s="1" t="inlineStr">
        <is>
          <t>Зачётный вес в этой таблице следует условному контрактному вычету: превышение влажности над 9% и полный засор. Нулевая допустимая примесь — допущение этого примера. Для иного договора измените базис; не переносите формулу на физическую сушку.</t>
        </is>
      </c>
    </row>
    <row r="67" ht="44" customHeight="1">
      <c r="A67" s="2" t="inlineStr">
        <is>
          <t>T056</t>
        </is>
      </c>
      <c r="B67" s="1" t="inlineStr">
        <is>
          <t>5.5</t>
        </is>
      </c>
      <c r="C67" s="1" t="inlineStr">
        <is>
          <t>Зачётный вес в этой таблице следует условному контрактному вычету: превышение влажности над 9% и полный засор. Нулевая допустимая примесь — допущение этого примера. Для иного договора измените базис; не переносите формулу на физическую сушку.</t>
        </is>
      </c>
    </row>
    <row r="68" ht="44" customHeight="1">
      <c r="A68" s="2" t="inlineStr">
        <is>
          <t>T057</t>
        </is>
      </c>
      <c r="B68" s="1" t="inlineStr">
        <is>
          <t>5.6</t>
        </is>
      </c>
      <c r="C68" s="1" t="inlineStr">
        <is>
          <t>Норматив 3,5 т/чел должен относиться к тому же периоду, что объём и численность. Разница не устанавливает фиктивных работников: учитывают человеко-дни, простои, состав работ и индивидуальные выплаты. Исправлена сумма 10 × 1300 = 13 000.</t>
        </is>
      </c>
    </row>
    <row r="69" ht="44" customHeight="1">
      <c r="A69" s="2" t="inlineStr">
        <is>
          <t>T058</t>
        </is>
      </c>
      <c r="B69" s="1" t="inlineStr">
        <is>
          <t>5.6</t>
        </is>
      </c>
      <c r="C69" s="1" t="inlineStr">
        <is>
          <t>Норматив 3,5 т/чел должен относиться к тому же периоду, что объём и численность. Разница не устанавливает фиктивных работников: учитывают человеко-дни, простои, состав работ и индивидуальные выплаты. Исправлена сумма 10 × 1300 = 13 000.</t>
        </is>
      </c>
    </row>
    <row r="70" ht="44" customHeight="1">
      <c r="A70" s="2" t="inlineStr">
        <is>
          <t>T059</t>
        </is>
      </c>
      <c r="B70" s="1" t="inlineStr">
        <is>
          <t>5.7</t>
        </is>
      </c>
      <c r="C70" s="1" t="inlineStr">
        <is>
          <t>Убыль можно учитывать только при документальном основании и подходящих условиях хранения. Здесь нормы заданы условно. Недостача и излишек отражаются отдельно; отрицательное отклонение не устанавливает виновное лицо.</t>
        </is>
      </c>
    </row>
    <row r="71" ht="44" customHeight="1">
      <c r="A71" s="2" t="inlineStr">
        <is>
          <t>T060</t>
        </is>
      </c>
      <c r="B71" s="1" t="inlineStr">
        <is>
          <t>5.7</t>
        </is>
      </c>
      <c r="C71" s="1" t="inlineStr">
        <is>
          <t>Убыль можно учитывать только при документальном основании и подходящих условиях хранения. Здесь нормы заданы условно. Недостача и излишек отражаются отдельно; отрицательное отклонение не устанавливает виновное лицо.</t>
        </is>
      </c>
    </row>
    <row r="72" ht="44" customHeight="1">
      <c r="A72" s="2" t="inlineStr">
        <is>
          <t>T061</t>
        </is>
      </c>
      <c r="B72" s="1" t="inlineStr">
        <is>
          <t>5.8</t>
        </is>
      </c>
      <c r="C72" s="1" t="inlineStr">
        <is>
          <t>Закон Бенфорда применим не ко всем данным. Идентификаторы, назначенные тарифы и узкие диапазоны обычно непригодны. Порог 10 процентных пунктов здесь лишь учебный фильтр, не статистический тест и не доказательство нарушения.</t>
        </is>
      </c>
    </row>
    <row r="73" ht="44" customHeight="1">
      <c r="A73" s="2" t="inlineStr">
        <is>
          <t>T062</t>
        </is>
      </c>
      <c r="B73" s="1" t="inlineStr">
        <is>
          <t>5.8</t>
        </is>
      </c>
      <c r="C73" s="1" t="inlineStr">
        <is>
          <t>Закон Бенфорда применим не ко всем данным. Идентификаторы, назначенные тарифы и узкие диапазоны обычно непригодны. Порог 10 процентных пунктов здесь лишь учебный фильтр, не статистический тест и не доказательство нарушения.</t>
        </is>
      </c>
    </row>
    <row r="74" ht="44" customHeight="1">
      <c r="A74" s="2" t="inlineStr">
        <is>
          <t>T063</t>
        </is>
      </c>
      <c r="B74" s="1" t="inlineStr">
        <is>
          <t>5.8</t>
        </is>
      </c>
      <c r="C74" s="1" t="inlineStr">
        <is>
          <t>Закон Бенфорда применим не ко всем данным. Идентификаторы, назначенные тарифы и узкие диапазоны обычно непригодны. Порог 10 процентных пунктов здесь лишь учебный фильтр, не статистический тест и не доказательство нарушения.</t>
        </is>
      </c>
    </row>
    <row r="75" ht="44" customHeight="1">
      <c r="A75" s="2" t="inlineStr">
        <is>
          <t>T064</t>
        </is>
      </c>
      <c r="B75" s="1" t="inlineStr">
        <is>
          <t>6.1</t>
        </is>
      </c>
      <c r="C75" s="1" t="inlineStr">
        <is>
          <t>Учебный сценарий</t>
        </is>
      </c>
    </row>
    <row r="76" ht="44" customHeight="1">
      <c r="A76" s="2" t="inlineStr">
        <is>
          <t>T065</t>
        </is>
      </c>
      <c r="B76" s="1" t="inlineStr">
        <is>
          <t>6.1</t>
        </is>
      </c>
      <c r="C76" s="1" t="inlineStr">
        <is>
          <t>Учебный сценарий</t>
        </is>
      </c>
    </row>
    <row r="77" ht="44" customHeight="1">
      <c r="A77" s="2" t="inlineStr">
        <is>
          <t>T066</t>
        </is>
      </c>
      <c r="B77" s="1" t="inlineStr">
        <is>
          <t>6.2</t>
        </is>
      </c>
      <c r="C77" s="1" t="inlineStr">
        <is>
          <t>Сравнение премии только с ожидаемым убытком недостаточно: страхование защищает ликвидность и капитал. Учитывают франшизу, лимит, исключения и базисный риск индексного продукта. Порог 1,05 в исходной модели не является правилом оптимального выбора.</t>
        </is>
      </c>
    </row>
    <row r="78" ht="44" customHeight="1">
      <c r="A78" s="2" t="inlineStr">
        <is>
          <t>T067</t>
        </is>
      </c>
      <c r="B78" s="1" t="inlineStr">
        <is>
          <t>6.2</t>
        </is>
      </c>
      <c r="C78" s="1" t="inlineStr">
        <is>
          <t>Сравнение премии только с ожидаемым убытком недостаточно: страхование защищает ликвидность и капитал. Учитывают франшизу, лимит, исключения и базисный риск индексного продукта. Порог 1,05 в исходной модели не является правилом оптимального выбора.</t>
        </is>
      </c>
    </row>
    <row r="79" ht="44" customHeight="1">
      <c r="A79" s="2" t="inlineStr">
        <is>
          <t>T068</t>
        </is>
      </c>
      <c r="B79" s="1" t="inlineStr">
        <is>
          <t>6.3</t>
        </is>
      </c>
      <c r="C79" s="1" t="inlineStr">
        <is>
          <t>Льготы и субсидии — только условный сценарий расчёта; наличие права, лимитов, совместимость программ и сроки поступления нужно подтверждать по действующим правилам. Не учитывайте неподтверждённую субсидию как гарантированный денежный поток.</t>
        </is>
      </c>
    </row>
    <row r="80" ht="44" customHeight="1">
      <c r="A80" s="2" t="inlineStr">
        <is>
          <t>T069</t>
        </is>
      </c>
      <c r="B80" s="1" t="inlineStr">
        <is>
          <t>6.3</t>
        </is>
      </c>
      <c r="C80" s="1" t="inlineStr">
        <is>
          <t>Льготы и субсидии — только условный сценарий расчёта; наличие права, лимитов, совместимость программ и сроки поступления нужно подтверждать по действующим правилам. Не учитывайте неподтверждённую субсидию как гарантированный денежный поток.</t>
        </is>
      </c>
    </row>
    <row r="81" ht="44" customHeight="1">
      <c r="A81" s="2" t="inlineStr">
        <is>
          <t>T070</t>
        </is>
      </c>
      <c r="B81" s="1" t="inlineStr">
        <is>
          <t>6.4</t>
        </is>
      </c>
      <c r="C81" s="1" t="inlineStr">
        <is>
          <t>Все ставки — параметры учебного сценария, не действующие ставки законодательства. Период базы должен совпадать с периодом расчёта. Общий итог не выводится: удержание работника, расход работодателя и возмещаемый входной налог имеют разную экономическую природу.</t>
        </is>
      </c>
    </row>
    <row r="82" ht="44" customHeight="1">
      <c r="A82" s="2" t="inlineStr">
        <is>
          <t>T071</t>
        </is>
      </c>
      <c r="B82" s="1" t="inlineStr">
        <is>
          <t>6.4</t>
        </is>
      </c>
      <c r="C82" s="1" t="inlineStr">
        <is>
          <t>Все ставки — параметры учебного сценария, не действующие ставки законодательства. Период базы должен совпадать с периодом расчёта. Общий итог не выводится: удержание работника, расход работодателя и возмещаемый входной налог имеют разную экономическую природу.</t>
        </is>
      </c>
    </row>
    <row r="83" ht="44" customHeight="1">
      <c r="A83" s="2" t="inlineStr">
        <is>
          <t>T072</t>
        </is>
      </c>
      <c r="B83" s="1" t="inlineStr">
        <is>
          <t>6.5</t>
        </is>
      </c>
      <c r="C83" s="1" t="inlineStr">
        <is>
          <t>Разница годовой экономии и OPEX — предварительная оценка. В решение об инвестиции включают CAPEX, внедрение, обслуживание, срок, риск и дисконтирование. NDVI и GPS являются измерениями с ошибкой; маршрут машины не доказывает выполнение операции.</t>
        </is>
      </c>
    </row>
    <row r="84" ht="44" customHeight="1">
      <c r="A84" s="2" t="inlineStr">
        <is>
          <t>T073</t>
        </is>
      </c>
      <c r="B84" s="1" t="inlineStr">
        <is>
          <t>6.5</t>
        </is>
      </c>
      <c r="C84" s="1" t="inlineStr">
        <is>
          <t>Разница годовой экономии и OPEX — предварительная оценка. В решение об инвестиции включают CAPEX, внедрение, обслуживание, срок, риск и дисконтирование. NDVI и GPS являются измерениями с ошибкой; маршрут машины не доказывает выполнение операции.</t>
        </is>
      </c>
    </row>
    <row r="85" ht="44" customHeight="1">
      <c r="A85" s="2" t="inlineStr">
        <is>
          <t>T074</t>
        </is>
      </c>
      <c r="B85" s="1" t="inlineStr">
        <is>
          <t>7.1</t>
        </is>
      </c>
      <c r="C85" s="1" t="inlineStr">
        <is>
          <t>Учебный сценарий</t>
        </is>
      </c>
    </row>
    <row r="86" ht="44" customHeight="1">
      <c r="A86" s="2" t="inlineStr">
        <is>
          <t>T075</t>
        </is>
      </c>
      <c r="B86" s="1" t="inlineStr">
        <is>
          <t>7.1</t>
        </is>
      </c>
      <c r="C86" s="1" t="inlineStr">
        <is>
          <t>Учебный сценарий</t>
        </is>
      </c>
    </row>
    <row r="87" ht="44" customHeight="1">
      <c r="A87" s="2" t="inlineStr">
        <is>
          <t>T076</t>
        </is>
      </c>
      <c r="B87" s="1" t="inlineStr">
        <is>
          <t>7.1</t>
        </is>
      </c>
      <c r="C87" s="1" t="inlineStr">
        <is>
          <t>Учебный сценарий</t>
        </is>
      </c>
    </row>
    <row r="88" ht="44" customHeight="1">
      <c r="A88" s="2" t="inlineStr">
        <is>
          <t>T077</t>
        </is>
      </c>
      <c r="B88" s="1" t="inlineStr">
        <is>
          <t>7.1</t>
        </is>
      </c>
      <c r="C88" s="1" t="inlineStr">
        <is>
          <t>Учебный сценарий</t>
        </is>
      </c>
    </row>
    <row r="89" ht="44" customHeight="1">
      <c r="A89" s="2" t="inlineStr">
        <is>
          <t>T078</t>
        </is>
      </c>
      <c r="B89" s="1" t="inlineStr">
        <is>
          <t>7.2</t>
        </is>
      </c>
      <c r="C89" s="1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90" ht="44" customHeight="1">
      <c r="A90" s="2" t="inlineStr">
        <is>
          <t>T079</t>
        </is>
      </c>
      <c r="B90" s="1" t="inlineStr">
        <is>
          <t>7.2</t>
        </is>
      </c>
      <c r="C90" s="1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91" ht="44" customHeight="1">
      <c r="A91" s="2" t="inlineStr">
        <is>
          <t>T080</t>
        </is>
      </c>
      <c r="B91" s="1" t="inlineStr">
        <is>
          <t>7.2</t>
        </is>
      </c>
      <c r="C91" s="1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92" ht="44" customHeight="1">
      <c r="A92" s="2" t="inlineStr">
        <is>
          <t>T081</t>
        </is>
      </c>
      <c r="B92" s="1" t="inlineStr">
        <is>
          <t>7.2</t>
        </is>
      </c>
      <c r="C92" s="1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93" ht="44" customHeight="1">
      <c r="A93" s="2" t="inlineStr">
        <is>
          <t>T082</t>
        </is>
      </c>
      <c r="B93" s="1" t="inlineStr">
        <is>
          <t>7.3</t>
        </is>
      </c>
      <c r="C93" s="1" t="inlineStr">
        <is>
          <t>Учебный сценарий</t>
        </is>
      </c>
    </row>
    <row r="94" ht="44" customHeight="1">
      <c r="A94" s="2" t="inlineStr">
        <is>
          <t>T083</t>
        </is>
      </c>
      <c r="B94" s="1" t="inlineStr">
        <is>
          <t>7.3</t>
        </is>
      </c>
      <c r="C94" s="1" t="inlineStr">
        <is>
          <t>В этой сокращённой анкете всего 3 признака, поэтому счётчик принимает значения 0–3. Исправлены невозможные значения 5 и 11 и неприменимые пороги 5/10. Полная анкета требует отдельного набора признаков.</t>
        </is>
      </c>
    </row>
    <row r="95" ht="44" customHeight="1">
      <c r="A95" s="2" t="inlineStr">
        <is>
          <t>T084</t>
        </is>
      </c>
      <c r="B95" s="1" t="inlineStr">
        <is>
          <t>7.3</t>
        </is>
      </c>
      <c r="C95" s="1" t="inlineStr">
        <is>
          <t>В этой сокращённой анкете всего 3 признака, поэтому счётчик принимает значения 0–3. Исправлены невозможные значения 5 и 11 и неприменимые пороги 5/10. Полная анкета требует отдельного набора признаков.</t>
        </is>
      </c>
    </row>
    <row r="96" ht="44" customHeight="1">
      <c r="A96" s="2" t="inlineStr">
        <is>
          <t>T085</t>
        </is>
      </c>
      <c r="B96" s="1" t="inlineStr">
        <is>
          <t>7.4</t>
        </is>
      </c>
      <c r="C96" s="1" t="inlineStr">
        <is>
          <t>Условный независимый ориентир для топлива — 110 т по моточасам, а не нулевой объём из прогноза погоды. Денежные оценки означают расхождения по учебной цене, не установленный ущерб. Совпадение итогов не доказывает полноту учёта.</t>
        </is>
      </c>
    </row>
    <row r="97" ht="44" customHeight="1">
      <c r="A97" s="2" t="inlineStr">
        <is>
          <t>T086</t>
        </is>
      </c>
      <c r="B97" s="1" t="inlineStr">
        <is>
          <t>7.4</t>
        </is>
      </c>
      <c r="C97" s="1" t="inlineStr">
        <is>
          <t>Условный независимый ориентир для топлива — 110 т по моточасам, а не нулевой объём из прогноза погоды. Денежные оценки означают расхождения по учебной цене, не установленный ущерб. Совпадение итогов не доказывает полноту учёта.</t>
        </is>
      </c>
    </row>
    <row r="98" ht="44" customHeight="1">
      <c r="A98" s="2" t="inlineStr">
        <is>
          <t>T087</t>
        </is>
      </c>
      <c r="B98" s="1" t="inlineStr">
        <is>
          <t>7.5</t>
        </is>
      </c>
      <c r="C98" s="1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99" ht="44" customHeight="1">
      <c r="A99" s="2" t="inlineStr">
        <is>
          <t>T088</t>
        </is>
      </c>
      <c r="B99" s="1" t="inlineStr">
        <is>
          <t>7.5</t>
        </is>
      </c>
      <c r="C99" s="1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00" ht="44" customHeight="1">
      <c r="A100" s="2" t="inlineStr">
        <is>
          <t>T089</t>
        </is>
      </c>
      <c r="B100" s="1" t="inlineStr">
        <is>
          <t>7.6</t>
        </is>
      </c>
      <c r="C100" s="1" t="inlineStr">
        <is>
          <t>Учебный сценарий</t>
        </is>
      </c>
    </row>
    <row r="101" ht="44" customHeight="1">
      <c r="A101" s="2" t="inlineStr">
        <is>
          <t>T090</t>
        </is>
      </c>
      <c r="B101" s="1" t="inlineStr">
        <is>
          <t>7.6</t>
        </is>
      </c>
      <c r="C101" s="1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02" ht="44" customHeight="1">
      <c r="A102" s="2" t="inlineStr">
        <is>
          <t>T091</t>
        </is>
      </c>
      <c r="B102" s="1" t="inlineStr">
        <is>
          <t>7.6</t>
        </is>
      </c>
      <c r="C102" s="1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03" ht="44" customHeight="1">
      <c r="A103" s="2" t="inlineStr">
        <is>
          <t>T092</t>
        </is>
      </c>
      <c r="B103" s="1" t="inlineStr">
        <is>
          <t>7.7</t>
        </is>
      </c>
      <c r="C103" s="1" t="inlineStr">
        <is>
          <t>Учебный сценарий</t>
        </is>
      </c>
    </row>
    <row r="104" ht="44" customHeight="1">
      <c r="A104" s="2" t="inlineStr">
        <is>
          <t>T093</t>
        </is>
      </c>
      <c r="B104" s="1" t="inlineStr">
        <is>
          <t>7.7</t>
        </is>
      </c>
      <c r="C104" s="1" t="inlineStr">
        <is>
          <t>Учебный сценарий</t>
        </is>
      </c>
    </row>
    <row r="105" ht="44" customHeight="1">
      <c r="A105" s="2" t="inlineStr">
        <is>
          <t>T094</t>
        </is>
      </c>
      <c r="B105" s="1" t="inlineStr">
        <is>
          <t>7.7</t>
        </is>
      </c>
      <c r="C105" s="1" t="inlineStr">
        <is>
          <t>Учебный сценарий</t>
        </is>
      </c>
    </row>
    <row r="106" ht="44" customHeight="1">
      <c r="A106" s="2" t="inlineStr">
        <is>
          <t>T095</t>
        </is>
      </c>
      <c r="B106" s="1" t="inlineStr">
        <is>
          <t>7.8</t>
        </is>
      </c>
      <c r="C106" s="1" t="inlineStr">
        <is>
          <t>Резервы в примере — управленческий сценарий, не готовая оценка по IFRS 9. Ожидаемые кредитные потери требуют вероятностей дефолта, размера потери и экспозиции. Перед претензией проверяют срок договора и спорную часть долга.</t>
        </is>
      </c>
    </row>
    <row r="107" ht="44" customHeight="1">
      <c r="A107" s="2" t="inlineStr">
        <is>
          <t>T096</t>
        </is>
      </c>
      <c r="B107" s="1" t="inlineStr">
        <is>
          <t>7.8</t>
        </is>
      </c>
      <c r="C107" s="1" t="inlineStr">
        <is>
          <t>Резервы в примере — управленческий сценарий, не готовая оценка по IFRS 9. Ожидаемые кредитные потери требуют вероятностей дефолта, размера потери и экспозиции. Перед претензией проверяют срок договора и спорную часть долга.</t>
        </is>
      </c>
    </row>
    <row r="108" ht="44" customHeight="1">
      <c r="A108" s="2" t="inlineStr">
        <is>
          <t>T097</t>
        </is>
      </c>
      <c r="B108" s="1" t="inlineStr">
        <is>
          <t>7.9</t>
        </is>
      </c>
      <c r="C108" s="1" t="inlineStr">
        <is>
          <t>Число индикаторов не устанавливает притворность сделки и не создаёт автоматического основания для расторжения. Проверяются действительная воля сторон, предмет и исполнение по применимому праву.</t>
        </is>
      </c>
    </row>
    <row r="109" ht="44" customHeight="1">
      <c r="A109" s="2" t="inlineStr">
        <is>
          <t>T098</t>
        </is>
      </c>
      <c r="B109" s="1" t="inlineStr">
        <is>
          <t>7.9</t>
        </is>
      </c>
      <c r="C109" s="1" t="inlineStr">
        <is>
          <t>Число индикаторов не устанавливает притворность сделки и не создаёт автоматического основания для расторжения. Проверяются действительная воля сторон, предмет и исполнение по применимому праву.</t>
        </is>
      </c>
    </row>
    <row r="110" ht="44" customHeight="1">
      <c r="A110" s="2" t="inlineStr">
        <is>
          <t>T099</t>
        </is>
      </c>
      <c r="B110" s="1" t="inlineStr">
        <is>
          <t>7.10</t>
        </is>
      </c>
      <c r="C110" s="1" t="inlineStr">
        <is>
          <t>Сравниваются условные учётные варианты. Разница оценок сама по себе не доказывает манипуляцию. Изменение срока службы или метода допустимо только при надлежащих основаниях и раскрытии по применимым стандартам.</t>
        </is>
      </c>
    </row>
    <row r="111" ht="44" customHeight="1">
      <c r="A111" s="2" t="inlineStr">
        <is>
          <t>T100</t>
        </is>
      </c>
      <c r="B111" s="1" t="inlineStr">
        <is>
          <t>7.10</t>
        </is>
      </c>
      <c r="C111" s="1" t="inlineStr">
        <is>
          <t>Сравниваются условные учётные варианты. Разница оценок сама по себе не доказывает манипуляцию. Изменение срока службы или метода допустимо только при надлежащих основаниях и раскрытии по применимым стандартам.</t>
        </is>
      </c>
    </row>
    <row r="112" ht="44" customHeight="1">
      <c r="A112" s="2" t="inlineStr">
        <is>
          <t>T101</t>
        </is>
      </c>
      <c r="B112" s="1" t="inlineStr">
        <is>
          <t>7.7.11</t>
        </is>
      </c>
      <c r="C112" s="1" t="inlineStr">
        <is>
          <t>Учебный сценарий</t>
        </is>
      </c>
    </row>
    <row r="113" ht="44" customHeight="1">
      <c r="A113" s="2" t="inlineStr">
        <is>
          <t>T102</t>
        </is>
      </c>
      <c r="B113" s="1" t="inlineStr">
        <is>
          <t>7.7.11</t>
        </is>
      </c>
      <c r="C113" s="1" t="inlineStr">
        <is>
          <t>Учебный сценарий</t>
        </is>
      </c>
    </row>
    <row r="114" ht="44" customHeight="1">
      <c r="A114" s="2" t="inlineStr">
        <is>
          <t>T103</t>
        </is>
      </c>
      <c r="B114" s="1" t="inlineStr">
        <is>
          <t>8.1</t>
        </is>
      </c>
      <c r="C114" s="1" t="inlineStr">
        <is>
          <t>Учебный сценарий</t>
        </is>
      </c>
    </row>
    <row r="115" ht="44" customHeight="1">
      <c r="A115" s="2" t="inlineStr">
        <is>
          <t>T104</t>
        </is>
      </c>
      <c r="B115" s="1" t="inlineStr">
        <is>
          <t>8.1</t>
        </is>
      </c>
      <c r="C115" s="1" t="inlineStr">
        <is>
          <t>Поведение в интервью не используется как детектор лжи. Содержание проверяется по независимым данным, противоречия уточняются без наводящих вопросов. Медицинские и личностные ярлыки исключены.</t>
        </is>
      </c>
    </row>
    <row r="116" ht="44" customHeight="1">
      <c r="A116" s="2" t="inlineStr">
        <is>
          <t>T105</t>
        </is>
      </c>
      <c r="B116" s="1" t="inlineStr">
        <is>
          <t>8.1</t>
        </is>
      </c>
      <c r="C116" s="1" t="inlineStr">
        <is>
          <t>Поведение в интервью не используется как детектор лжи. Содержание проверяется по независимым данным, противоречия уточняются без наводящих вопросов. Медицинские и личностные ярлыки исключены.</t>
        </is>
      </c>
    </row>
    <row r="117" ht="44" customHeight="1">
      <c r="A117" s="2" t="inlineStr">
        <is>
          <t>T106</t>
        </is>
      </c>
      <c r="B117" s="1" t="inlineStr">
        <is>
          <t>8.2</t>
        </is>
      </c>
      <c r="C117" s="1" t="inlineStr">
        <is>
          <t>Учебный сценарий</t>
        </is>
      </c>
    </row>
    <row r="118" ht="44" customHeight="1">
      <c r="A118" s="2" t="inlineStr">
        <is>
          <t>T107</t>
        </is>
      </c>
      <c r="B118" s="1" t="inlineStr">
        <is>
          <t>8.2</t>
        </is>
      </c>
      <c r="C118" s="1" t="inlineStr">
        <is>
          <t>Учебный сценарий</t>
        </is>
      </c>
    </row>
    <row r="119" ht="44" customHeight="1">
      <c r="A119" s="2" t="inlineStr">
        <is>
          <t>T108</t>
        </is>
      </c>
      <c r="B119" s="1" t="inlineStr">
        <is>
          <t>8.2</t>
        </is>
      </c>
      <c r="C119" s="1" t="inlineStr">
        <is>
          <t>Учебный сценарий</t>
        </is>
      </c>
    </row>
    <row r="120" ht="44" customHeight="1">
      <c r="A120" s="2" t="inlineStr">
        <is>
          <t>T109</t>
        </is>
      </c>
      <c r="B120" s="1" t="inlineStr">
        <is>
          <t>8.3</t>
        </is>
      </c>
      <c r="C120" s="1" t="inlineStr">
        <is>
          <t>Учебный сценарий</t>
        </is>
      </c>
    </row>
    <row r="121" ht="44" customHeight="1">
      <c r="A121" s="2" t="inlineStr">
        <is>
          <t>T110</t>
        </is>
      </c>
      <c r="B121" s="1" t="inlineStr">
        <is>
          <t>8.3</t>
        </is>
      </c>
      <c r="C121" s="1" t="inlineStr">
        <is>
          <t>Коэффициенты 25%, 10%, 20% — произвольные сценарные параметры, не ставки доначислений и не вероятность нарушения. Фактические трудовые отношения не исправляются одним переходом на сдельную оплату. Исправлено смещение столбцов в шаблоне.</t>
        </is>
      </c>
    </row>
    <row r="122" ht="44" customHeight="1">
      <c r="A122" s="2" t="inlineStr">
        <is>
          <t>T111</t>
        </is>
      </c>
      <c r="B122" s="1" t="inlineStr">
        <is>
          <t>8.3</t>
        </is>
      </c>
      <c r="C122" s="1" t="inlineStr">
        <is>
          <t>Коэффициенты 25%, 10%, 20% — произвольные сценарные параметры, не ставки доначислений и не вероятность нарушения. Фактические трудовые отношения не исправляются одним переходом на сдельную оплату. Исправлено смещение столбцов в шаблоне.</t>
        </is>
      </c>
    </row>
    <row r="123" ht="44" customHeight="1">
      <c r="A123" s="2" t="inlineStr">
        <is>
          <t>T112</t>
        </is>
      </c>
      <c r="B123" s="1" t="inlineStr">
        <is>
          <t>9.1</t>
        </is>
      </c>
      <c r="C123" s="1" t="inlineStr">
        <is>
          <t>Учебный сценарий</t>
        </is>
      </c>
    </row>
    <row r="124" ht="44" customHeight="1">
      <c r="A124" s="2" t="inlineStr">
        <is>
          <t>T113</t>
        </is>
      </c>
      <c r="B124" s="1" t="inlineStr">
        <is>
          <t>9.1</t>
        </is>
      </c>
      <c r="C124" s="1" t="inlineStr">
        <is>
          <t>Учебный сценарий</t>
        </is>
      </c>
    </row>
    <row r="125" ht="44" customHeight="1">
      <c r="A125" s="2" t="inlineStr">
        <is>
          <t>T114</t>
        </is>
      </c>
      <c r="B125" s="1" t="inlineStr">
        <is>
          <t>9.1</t>
        </is>
      </c>
      <c r="C125" s="1" t="inlineStr">
        <is>
          <t>Учебный сценарий</t>
        </is>
      </c>
    </row>
    <row r="126" ht="44" customHeight="1">
      <c r="A126" s="2" t="inlineStr">
        <is>
          <t>T115</t>
        </is>
      </c>
      <c r="B126" s="1" t="inlineStr">
        <is>
          <t>9.2</t>
        </is>
      </c>
      <c r="C126" s="1" t="inlineStr">
        <is>
          <t>Учебный сценарий</t>
        </is>
      </c>
    </row>
    <row r="127" ht="44" customHeight="1">
      <c r="A127" s="2" t="inlineStr">
        <is>
          <t>T116</t>
        </is>
      </c>
      <c r="B127" s="1" t="inlineStr">
        <is>
          <t>9.2</t>
        </is>
      </c>
      <c r="C127" s="1" t="inlineStr">
        <is>
          <t>Учебный сценарий</t>
        </is>
      </c>
    </row>
    <row r="128" ht="44" customHeight="1">
      <c r="A128" s="2" t="inlineStr">
        <is>
          <t>T117</t>
        </is>
      </c>
      <c r="B128" s="1" t="inlineStr">
        <is>
          <t>9.3</t>
        </is>
      </c>
      <c r="C128" s="1" t="inlineStr">
        <is>
          <t>Перечисленные расходы дают 4 451,69 сомони/га. Чтобы согласовать последующий модельный бюджет 4 700, добавлен явно обозначенный резерв 248,31. Это допущение для учебного сравнения, не восстановленный первичный расход.</t>
        </is>
      </c>
    </row>
    <row r="129" ht="44" customHeight="1">
      <c r="A129" s="2" t="inlineStr">
        <is>
          <t>T118</t>
        </is>
      </c>
      <c r="B129" s="1" t="inlineStr">
        <is>
          <t>9.3</t>
        </is>
      </c>
      <c r="C129" s="1" t="inlineStr">
        <is>
          <t>При бюджете 4700 сомони/га и урожайности 2500 кг/га себестоимость равна 1,88 сомони/кг. Маржа к выручке и рентабельность затрат различаются знаменателем. Равенство баланса проверяют с объявленной точностью исходных измерений.</t>
        </is>
      </c>
    </row>
    <row r="130" ht="44" customHeight="1">
      <c r="A130" s="2" t="inlineStr">
        <is>
          <t>T119</t>
        </is>
      </c>
      <c r="B130" s="1" t="inlineStr">
        <is>
          <t>9.3</t>
        </is>
      </c>
      <c r="C130" s="1" t="inlineStr">
        <is>
          <t>При бюджете 4700 сомони/га и урожайности 2500 кг/га себестоимость равна 1,88 сомони/кг. Маржа к выручке и рентабельность затрат различаются знаменателем. Равенство баланса проверяют с объявленной точностью исходных измерений.</t>
        </is>
      </c>
    </row>
    <row r="131" ht="44" customHeight="1">
      <c r="A131" s="2" t="inlineStr">
        <is>
          <t>T120</t>
        </is>
      </c>
      <c r="B131" s="1" t="inlineStr">
        <is>
          <t>9.4</t>
        </is>
      </c>
      <c r="C131" s="1" t="inlineStr">
        <is>
          <t>Различие культур сверяют с актуальным планом и правами на землю. Слово «захвачено» заменено нейтральным описанием: исходная таблица сама по себе не доказывает незаконное использование.</t>
        </is>
      </c>
    </row>
    <row r="132" ht="44" customHeight="1">
      <c r="A132" s="2" t="inlineStr">
        <is>
          <t>T121</t>
        </is>
      </c>
      <c r="B132" s="1" t="inlineStr">
        <is>
          <t>9.4</t>
        </is>
      </c>
      <c r="C132" s="1" t="inlineStr">
        <is>
          <t>Различие культур сверяют с актуальным планом и правами на землю. Слово «захвачено» заменено нейтральным описанием: исходная таблица сама по себе не доказывает незаконное использование.</t>
        </is>
      </c>
    </row>
    <row r="133" ht="44" customHeight="1">
      <c r="A133" s="2" t="inlineStr">
        <is>
          <t>T122</t>
        </is>
      </c>
      <c r="B133" s="1" t="inlineStr">
        <is>
          <t>9.4</t>
        </is>
      </c>
      <c r="C133" s="1" t="inlineStr">
        <is>
          <t>Различие культур сверяют с актуальным планом и правами на землю. Слово «захвачено» заменено нейтральным описанием: исходная таблица сама по себе не доказывает незаконное использование.</t>
        </is>
      </c>
    </row>
    <row r="134" ht="44" customHeight="1">
      <c r="A134" s="2" t="inlineStr">
        <is>
          <t>T123</t>
        </is>
      </c>
      <c r="B134" s="1" t="inlineStr">
        <is>
          <t>9.5</t>
        </is>
      </c>
      <c r="C134" s="1" t="inlineStr">
        <is>
          <t>Учебный сценарий</t>
        </is>
      </c>
    </row>
    <row r="135" ht="44" customHeight="1">
      <c r="A135" s="2" t="inlineStr">
        <is>
          <t>T124</t>
        </is>
      </c>
      <c r="B135" s="1" t="inlineStr">
        <is>
          <t>9.5</t>
        </is>
      </c>
      <c r="C135" s="1" t="inlineStr">
        <is>
          <t>Учебный сценарий</t>
        </is>
      </c>
    </row>
    <row r="136" ht="44" customHeight="1">
      <c r="A136" s="2" t="inlineStr">
        <is>
          <t>T125</t>
        </is>
      </c>
      <c r="B136" s="1" t="inlineStr">
        <is>
          <t>9.5</t>
        </is>
      </c>
      <c r="C136" s="1" t="inlineStr">
        <is>
          <t>Две надбавки по 5% начисляются на одну базу: общий множитель 1+0,05+0,05=1,10. Условия права на премию определяет договор. Без документа нельзя автоматически объявлять выплату необоснованной.</t>
        </is>
      </c>
    </row>
    <row r="137" ht="44" customHeight="1">
      <c r="A137" s="2" t="inlineStr">
        <is>
          <t>T126</t>
        </is>
      </c>
      <c r="B137" s="1" t="inlineStr">
        <is>
          <t>9.5</t>
        </is>
      </c>
      <c r="C137" s="1" t="inlineStr">
        <is>
          <t>Две надбавки по 5% начисляются на одну базу: общий множитель 1+0,05+0,05=1,10. Условия права на премию определяет договор. Без документа нельзя автоматически объявлять выплату необоснованной.</t>
        </is>
      </c>
    </row>
    <row r="138" ht="44" customHeight="1">
      <c r="A138" s="2" t="inlineStr">
        <is>
          <t>T127</t>
        </is>
      </c>
      <c r="B138" s="1" t="inlineStr">
        <is>
          <t>9.6</t>
        </is>
      </c>
      <c r="C138" s="1" t="inlineStr">
        <is>
          <t>Учебный сценарий</t>
        </is>
      </c>
    </row>
    <row r="139" ht="44" customHeight="1">
      <c r="A139" s="2" t="inlineStr">
        <is>
          <t>T128</t>
        </is>
      </c>
      <c r="B139" s="1" t="inlineStr">
        <is>
          <t>9.6</t>
        </is>
      </c>
      <c r="C139" s="1" t="inlineStr">
        <is>
          <t>Деление накопленного урожая на среднюю численность не даёт дневной производительности. Для кг/человеко-день нужны отработанные человеко-дни за тот же период. Этот столбец — только отношение за период.</t>
        </is>
      </c>
    </row>
    <row r="140" ht="44" customHeight="1">
      <c r="A140" s="2" t="inlineStr">
        <is>
          <t>T129</t>
        </is>
      </c>
      <c r="B140" s="1" t="inlineStr">
        <is>
          <t>9.6</t>
        </is>
      </c>
      <c r="C140" s="1" t="inlineStr">
        <is>
          <t>Деление накопленного урожая на среднюю численность не даёт дневной производительности. Для кг/человеко-день нужны отработанные человеко-дни за тот же период. Этот столбец — только отношение за период.</t>
        </is>
      </c>
    </row>
    <row r="141" ht="44" customHeight="1">
      <c r="A141" s="2" t="inlineStr">
        <is>
          <t>T130</t>
        </is>
      </c>
      <c r="B141" s="1" t="inlineStr">
        <is>
          <t>9.7</t>
        </is>
      </c>
      <c r="C141" s="1" t="inlineStr">
        <is>
          <t>Числа — сценарные оценки рисков из разных проверок. Их нельзя суммировать как установленный ущерб: возможны пересечения, разные базы и неполные документы. 39,77 ц/га не является доказанным биологическим максимумом. Исходные версии сохраняют.</t>
        </is>
      </c>
    </row>
    <row r="142" ht="44" customHeight="1">
      <c r="A142" s="2" t="inlineStr">
        <is>
          <t>T131</t>
        </is>
      </c>
      <c r="B142" s="1" t="inlineStr">
        <is>
          <t>9.7</t>
        </is>
      </c>
      <c r="C142" s="1" t="inlineStr">
        <is>
          <t>Числа — сценарные оценки рисков из разных проверок. Их нельзя суммировать как установленный ущерб: возможны пересечения, разные базы и неполные документы. 39,77 ц/га не является доказанным биологическим максимумом. Исходные версии сохраняют.</t>
        </is>
      </c>
    </row>
    <row r="143" ht="44" customHeight="1">
      <c r="A143" s="2" t="inlineStr">
        <is>
          <t>T132</t>
        </is>
      </c>
      <c r="B143" s="1" t="inlineStr">
        <is>
          <t>11.0–11.1</t>
        </is>
      </c>
      <c r="C143" s="1" t="inlineStr">
        <is>
          <t>Учебный сценарий</t>
        </is>
      </c>
    </row>
    <row r="144" ht="44" customHeight="1">
      <c r="A144" s="2" t="inlineStr">
        <is>
          <t>T133</t>
        </is>
      </c>
      <c r="B144" s="1" t="inlineStr">
        <is>
          <t>11.0–11.1</t>
        </is>
      </c>
      <c r="C144" s="1" t="inlineStr">
        <is>
          <t>Учебный сценарий</t>
        </is>
      </c>
    </row>
    <row r="145" ht="44" customHeight="1">
      <c r="A145" s="2" t="inlineStr">
        <is>
          <t>T134</t>
        </is>
      </c>
      <c r="B145" s="1" t="inlineStr">
        <is>
          <t>11.0–11.1</t>
        </is>
      </c>
      <c r="C145" s="1" t="inlineStr">
        <is>
          <t>Для иллюстрации одинаковая себестоимость распределена на весь собранный объём: стоимость проданного = общие затраты × продано / собрано. Остаток не списывается целиком против выручки периода. Фактический учёт потерь, побочной продукции и внутреннего использования требует отдельных правил. Тонны и тюки не складываются.</t>
        </is>
      </c>
    </row>
    <row r="146" ht="44" customHeight="1">
      <c r="A146" s="2" t="inlineStr">
        <is>
          <t>T135</t>
        </is>
      </c>
      <c r="B146" s="1" t="inlineStr">
        <is>
          <t>11.0–11.1</t>
        </is>
      </c>
      <c r="C146" s="1" t="inlineStr">
        <is>
          <t>Для иллюстрации одинаковая себестоимость распределена на весь собранный объём: стоимость проданного = общие затраты × продано / собрано. Остаток не списывается целиком против выручки периода. Фактический учёт потерь, побочной продукции и внутреннего использования требует отдельных правил. Тонны и тюки не складываются.</t>
        </is>
      </c>
    </row>
    <row r="147" ht="44" customHeight="1">
      <c r="A147" s="2" t="inlineStr">
        <is>
          <t>T136</t>
        </is>
      </c>
      <c r="B147" s="1" t="inlineStr">
        <is>
          <t>11.2</t>
        </is>
      </c>
      <c r="C147" s="1" t="inlineStr">
        <is>
          <t>Учебный сценарий</t>
        </is>
      </c>
    </row>
    <row r="148" ht="44" customHeight="1">
      <c r="A148" s="2" t="inlineStr">
        <is>
          <t>T137</t>
        </is>
      </c>
      <c r="B148" s="1" t="inlineStr">
        <is>
          <t>11.2</t>
        </is>
      </c>
      <c r="C148" s="1" t="inlineStr">
        <is>
          <t>Учебный сценарий</t>
        </is>
      </c>
    </row>
    <row r="149" ht="44" customHeight="1">
      <c r="A149" s="2" t="inlineStr">
        <is>
          <t>T138</t>
        </is>
      </c>
      <c r="B149" s="1" t="inlineStr">
        <is>
          <t>11.3</t>
        </is>
      </c>
      <c r="C149" s="1" t="inlineStr">
        <is>
          <t>Учебный сценарий</t>
        </is>
      </c>
    </row>
    <row r="150" ht="44" customHeight="1">
      <c r="A150" s="2" t="inlineStr">
        <is>
          <t>T139</t>
        </is>
      </c>
      <c r="B150" s="1" t="inlineStr">
        <is>
          <t>11.3</t>
        </is>
      </c>
      <c r="C150" s="1" t="inlineStr">
        <is>
          <t>Учебный сценарий</t>
        </is>
      </c>
    </row>
    <row r="151" ht="44" customHeight="1">
      <c r="A151" s="2" t="inlineStr">
        <is>
          <t>T140</t>
        </is>
      </c>
      <c r="B151" s="1" t="inlineStr">
        <is>
          <t>11.4</t>
        </is>
      </c>
      <c r="C151" s="1" t="inlineStr">
        <is>
          <t>Исправлены склеенные номера ссылок и смешение разных баз затрат. Здесь маржинальный доход = выручка − указанные переменные затраты. Для чистой прибыли вычитаются постоянные, финансовые и другие релевантные расходы. Число 1540 относилось к другой базе и исключено из этого сравнения.</t>
        </is>
      </c>
    </row>
    <row r="152" ht="44" customHeight="1">
      <c r="A152" s="2" t="inlineStr">
        <is>
          <t>T141</t>
        </is>
      </c>
      <c r="B152" s="1" t="inlineStr">
        <is>
          <t>11.4</t>
        </is>
      </c>
      <c r="C152" s="1" t="inlineStr">
        <is>
          <t>Резерв семян 0,25 т/га — условная норма этого кейса. Прочее выбытие нужно разбить на оплату натурой, документированные потери и прочие операции. При точности исходных чисел 0,01 т различия 0,0025 т неотличимы от округления; существенные 2 т проверяются отдельно.</t>
        </is>
      </c>
    </row>
    <row r="153" ht="44" customHeight="1">
      <c r="A153" s="2" t="inlineStr">
        <is>
          <t>T142</t>
        </is>
      </c>
      <c r="B153" s="1" t="inlineStr">
        <is>
          <t>11.4</t>
        </is>
      </c>
      <c r="C153" s="1" t="inlineStr">
        <is>
          <t>Резерв семян 0,25 т/га — условная норма этого кейса. Прочее выбытие нужно разбить на оплату натурой, документированные потери и прочие операции. При точности исходных чисел 0,01 т различия 0,0025 т неотличимы от округления; существенные 2 т проверяются отдельно.</t>
        </is>
      </c>
    </row>
    <row r="154" ht="44" customHeight="1">
      <c r="A154" s="2" t="inlineStr">
        <is>
          <t>T143</t>
        </is>
      </c>
      <c r="B154" s="1" t="inlineStr">
        <is>
          <t>11.5</t>
        </is>
      </c>
      <c r="C154" s="1" t="inlineStr">
        <is>
          <t>Учебный сценарий</t>
        </is>
      </c>
    </row>
    <row r="155" ht="44" customHeight="1">
      <c r="A155" s="2" t="inlineStr">
        <is>
          <t>T144</t>
        </is>
      </c>
      <c r="B155" s="1" t="inlineStr">
        <is>
          <t>11.5</t>
        </is>
      </c>
      <c r="C155" s="1" t="inlineStr">
        <is>
          <t>Учебный сценарий</t>
        </is>
      </c>
    </row>
    <row r="156" ht="44" customHeight="1">
      <c r="A156" s="2" t="inlineStr">
        <is>
          <t>T145</t>
        </is>
      </c>
      <c r="B156" s="1" t="inlineStr">
        <is>
          <t>11.5</t>
        </is>
      </c>
      <c r="C156" s="1" t="inlineStr">
        <is>
          <t>Учебный сценарий</t>
        </is>
      </c>
    </row>
    <row r="157" ht="44" customHeight="1">
      <c r="A157" s="2" t="inlineStr">
        <is>
          <t>T146</t>
        </is>
      </c>
      <c r="B157" s="1" t="inlineStr">
        <is>
          <t>11.6</t>
        </is>
      </c>
      <c r="C157" s="1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58" ht="44" customHeight="1">
      <c r="A158" s="2" t="inlineStr">
        <is>
          <t>T147</t>
        </is>
      </c>
      <c r="B158" s="1" t="inlineStr">
        <is>
          <t>11.6</t>
        </is>
      </c>
      <c r="C158" s="1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59" ht="44" customHeight="1">
      <c r="A159" s="2" t="inlineStr">
        <is>
          <t>T148</t>
        </is>
      </c>
      <c r="B159" s="1" t="inlineStr">
        <is>
          <t>11.6</t>
        </is>
      </c>
      <c r="C159" s="1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60" ht="44" customHeight="1">
      <c r="A160" s="2" t="inlineStr">
        <is>
          <t>T149</t>
        </is>
      </c>
      <c r="B160" s="1" t="inlineStr">
        <is>
          <t>11.6</t>
        </is>
      </c>
      <c r="C160" s="1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61" ht="44" customHeight="1">
      <c r="A161" s="2" t="inlineStr">
        <is>
          <t>T150</t>
        </is>
      </c>
      <c r="B161" s="1" t="inlineStr">
        <is>
          <t>12.0–12.1</t>
        </is>
      </c>
      <c r="C161" s="1" t="inlineStr">
        <is>
          <t>Учебный сценарий</t>
        </is>
      </c>
    </row>
    <row r="162" ht="44" customHeight="1">
      <c r="A162" s="2" t="inlineStr">
        <is>
          <t>T151</t>
        </is>
      </c>
      <c r="B162" s="1" t="inlineStr">
        <is>
          <t>12.0–12.1</t>
        </is>
      </c>
      <c r="C162" s="1" t="inlineStr">
        <is>
          <t>Для этого расчёта все тарифы заданы за гектар. Если договор оплачивает погонный метр, надо заменить и количество, и единицу тарифа. Нельзя умножать площадь на тариф за длину.</t>
        </is>
      </c>
    </row>
    <row r="163" ht="44" customHeight="1">
      <c r="A163" s="2" t="inlineStr">
        <is>
          <t>T152</t>
        </is>
      </c>
      <c r="B163" s="1" t="inlineStr">
        <is>
          <t>12.0–12.1</t>
        </is>
      </c>
      <c r="C163" s="1" t="inlineStr">
        <is>
          <t>Для этого расчёта все тарифы заданы за гектар. Если договор оплачивает погонный метр, надо заменить и количество, и единицу тарифа. Нельзя умножать площадь на тариф за длину.</t>
        </is>
      </c>
    </row>
    <row r="164" ht="44" customHeight="1">
      <c r="A164" s="2" t="inlineStr">
        <is>
          <t>T153</t>
        </is>
      </c>
      <c r="B164" s="1" t="inlineStr">
        <is>
          <t>12.0–12.1</t>
        </is>
      </c>
      <c r="C164" s="1" t="inlineStr">
        <is>
          <t>Для этого расчёта все тарифы заданы за гектар. Если договор оплачивает погонный метр, надо заменить и количество, и единицу тарифа. Нельзя умножать площадь на тариф за длину.</t>
        </is>
      </c>
    </row>
  </sheetData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  <hyperlink xmlns:r="http://schemas.openxmlformats.org/officeDocument/2006/relationships" ref="A119" r:id="rId108"/>
    <hyperlink xmlns:r="http://schemas.openxmlformats.org/officeDocument/2006/relationships" ref="A120" r:id="rId109"/>
    <hyperlink xmlns:r="http://schemas.openxmlformats.org/officeDocument/2006/relationships" ref="A121" r:id="rId110"/>
    <hyperlink xmlns:r="http://schemas.openxmlformats.org/officeDocument/2006/relationships" ref="A122" r:id="rId111"/>
    <hyperlink xmlns:r="http://schemas.openxmlformats.org/officeDocument/2006/relationships" ref="A123" r:id="rId112"/>
    <hyperlink xmlns:r="http://schemas.openxmlformats.org/officeDocument/2006/relationships" ref="A124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7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2" r:id="rId121"/>
    <hyperlink xmlns:r="http://schemas.openxmlformats.org/officeDocument/2006/relationships" ref="A133" r:id="rId122"/>
    <hyperlink xmlns:r="http://schemas.openxmlformats.org/officeDocument/2006/relationships" ref="A134" r:id="rId123"/>
    <hyperlink xmlns:r="http://schemas.openxmlformats.org/officeDocument/2006/relationships" ref="A135" r:id="rId124"/>
    <hyperlink xmlns:r="http://schemas.openxmlformats.org/officeDocument/2006/relationships" ref="A136" r:id="rId125"/>
    <hyperlink xmlns:r="http://schemas.openxmlformats.org/officeDocument/2006/relationships" ref="A137" r:id="rId126"/>
    <hyperlink xmlns:r="http://schemas.openxmlformats.org/officeDocument/2006/relationships" ref="A138" r:id="rId127"/>
    <hyperlink xmlns:r="http://schemas.openxmlformats.org/officeDocument/2006/relationships" ref="A139" r:id="rId128"/>
    <hyperlink xmlns:r="http://schemas.openxmlformats.org/officeDocument/2006/relationships" ref="A140" r:id="rId129"/>
    <hyperlink xmlns:r="http://schemas.openxmlformats.org/officeDocument/2006/relationships" ref="A141" r:id="rId130"/>
    <hyperlink xmlns:r="http://schemas.openxmlformats.org/officeDocument/2006/relationships" ref="A142" r:id="rId131"/>
    <hyperlink xmlns:r="http://schemas.openxmlformats.org/officeDocument/2006/relationships" ref="A143" r:id="rId132"/>
    <hyperlink xmlns:r="http://schemas.openxmlformats.org/officeDocument/2006/relationships" ref="A144" r:id="rId133"/>
    <hyperlink xmlns:r="http://schemas.openxmlformats.org/officeDocument/2006/relationships" ref="A145" r:id="rId134"/>
    <hyperlink xmlns:r="http://schemas.openxmlformats.org/officeDocument/2006/relationships" ref="A146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5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  <hyperlink xmlns:r="http://schemas.openxmlformats.org/officeDocument/2006/relationships" ref="A161" r:id="rId150"/>
    <hyperlink xmlns:r="http://schemas.openxmlformats.org/officeDocument/2006/relationships" ref="A162" r:id="rId151"/>
    <hyperlink xmlns:r="http://schemas.openxmlformats.org/officeDocument/2006/relationships" ref="A163" r:id="rId152"/>
    <hyperlink xmlns:r="http://schemas.openxmlformats.org/officeDocument/2006/relationships" ref="A164" r:id="rId1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A (Категория)</t>
        </is>
      </c>
      <c r="B1" s="3" t="inlineStr">
        <is>
          <t>B (Ресурс)</t>
        </is>
      </c>
      <c r="C1" s="3" t="inlineStr">
        <is>
          <t>C (Лимит)</t>
        </is>
      </c>
      <c r="D1" s="3" t="inlineStr">
        <is>
          <t>D (Ед. изм.)</t>
        </is>
      </c>
      <c r="E1" s="3" t="inlineStr">
        <is>
          <t>E (Цена/Ед, сом.)</t>
        </is>
      </c>
    </row>
    <row r="2" ht="36" customHeight="1">
      <c r="A2" s="4" t="inlineStr">
        <is>
          <t>Земля</t>
        </is>
      </c>
      <c r="B2" s="4" t="inlineStr">
        <is>
          <t>Пахотный клин</t>
        </is>
      </c>
      <c r="C2" s="5" t="n">
        <v>1350</v>
      </c>
      <c r="D2" s="4" t="inlineStr">
        <is>
          <t>га</t>
        </is>
      </c>
      <c r="E2" s="5" t="n">
        <v>3000</v>
      </c>
    </row>
    <row r="3" ht="36" customHeight="1">
      <c r="A3" s="4" t="inlineStr">
        <is>
          <t>Капитал</t>
        </is>
      </c>
      <c r="B3" s="4" t="inlineStr">
        <is>
          <t>Тракторный парк</t>
        </is>
      </c>
      <c r="C3" s="5" t="n">
        <v>12</v>
      </c>
      <c r="D3" s="4" t="inlineStr">
        <is>
          <t>шт</t>
        </is>
      </c>
      <c r="E3" s="5" t="n">
        <v>825000</v>
      </c>
    </row>
    <row r="4" ht="36" customHeight="1">
      <c r="A4" s="4" t="inlineStr">
        <is>
          <t>Труд</t>
        </is>
      </c>
      <c r="B4" s="4" t="inlineStr">
        <is>
          <t>Механизаторы</t>
        </is>
      </c>
      <c r="C4" s="5" t="n">
        <v>25</v>
      </c>
      <c r="D4" s="4" t="inlineStr">
        <is>
          <t>чел</t>
        </is>
      </c>
      <c r="E4" s="5" t="n">
        <v>1300</v>
      </c>
    </row>
    <row r="5" ht="36" customHeight="1">
      <c r="A5" s="4" t="inlineStr">
        <is>
          <t>Капитал</t>
        </is>
      </c>
      <c r="B5" s="4" t="inlineStr">
        <is>
          <t>Дизельное топливо</t>
        </is>
      </c>
      <c r="C5" s="5" t="n">
        <v>45000</v>
      </c>
      <c r="D5" s="4" t="inlineStr">
        <is>
          <t>л</t>
        </is>
      </c>
      <c r="E5" s="5" t="n">
        <v>11</v>
      </c>
    </row>
    <row r="6" ht="36" customHeight="1">
      <c r="A6" s="4" t="inlineStr">
        <is>
          <t>Капитал</t>
        </is>
      </c>
      <c r="B6" s="4" t="inlineStr">
        <is>
          <t>Удобрения (Карбамид)</t>
        </is>
      </c>
      <c r="C6" s="5" t="n">
        <v>200000</v>
      </c>
      <c r="D6" s="4" t="inlineStr">
        <is>
          <t>кг</t>
        </is>
      </c>
      <c r="E6" s="5" t="n">
        <v>5.5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E6"/>
  <mergeCells count="1">
    <mergeCell ref="A10:E1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G (Операция)</t>
        </is>
      </c>
      <c r="B1" s="3" t="inlineStr">
        <is>
          <t>H (MC, сом/га)</t>
        </is>
      </c>
      <c r="C1" s="3" t="inlineStr">
        <is>
          <t>I (Delta_Q, ц/га)</t>
        </is>
      </c>
      <c r="D1" s="3" t="inlineStr">
        <is>
          <t>J (P, сом/ц)</t>
        </is>
      </c>
      <c r="E1" s="3" t="inlineStr">
        <is>
          <t>K (MB, сом/га)</t>
        </is>
      </c>
      <c r="F1" s="3" t="inlineStr">
        <is>
          <t>L (Net Effect, сом)</t>
        </is>
      </c>
      <c r="G1" s="3" t="inlineStr">
        <is>
          <t>M (Решение)</t>
        </is>
      </c>
    </row>
    <row r="2" ht="36" customHeight="1">
      <c r="A2" s="4" t="inlineStr">
        <is>
          <t>5-я культивация</t>
        </is>
      </c>
      <c r="B2" s="5" t="n">
        <v>125</v>
      </c>
      <c r="C2" s="5" t="n">
        <v>0.7</v>
      </c>
      <c r="D2" s="5" t="n">
        <v>280</v>
      </c>
      <c r="E2" s="7">
        <f>C2*D2</f>
        <v>196.0</v>
      </c>
      <c r="F2" s="7">
        <f>E2-B2</f>
        <v>71.0</v>
      </c>
      <c r="G2" s="7" t="str">
        <f>IF(F2&gt;=0,"ПОЛОЖИТЕЛЬНЫЙ ЭФФЕКТ","ОТРИЦАТЕЛЬНЫЙ ЭФФЕКТ")</f>
        <v>ПОЛОЖИТЕЛЬНЫЙ ЭФФЕКТ</v>
      </c>
    </row>
    <row r="3" ht="36" customHeight="1">
      <c r="A3" s="4" t="inlineStr">
        <is>
          <t>Доп. внесение азота</t>
        </is>
      </c>
      <c r="B3" s="5" t="n">
        <v>300</v>
      </c>
      <c r="C3" s="5" t="n">
        <v>0.9</v>
      </c>
      <c r="D3" s="5" t="n">
        <v>280</v>
      </c>
      <c r="E3" s="7">
        <f>C3*D3</f>
        <v>252.0</v>
      </c>
      <c r="F3" s="7">
        <f>E3-B3</f>
        <v>-48.0</v>
      </c>
      <c r="G3" s="7" t="str">
        <f>IF(F3&gt;=0,"ПОЛОЖИТЕЛЬНЫЙ ЭФФЕКТ","ОТРИЦАТЕЛЬНЫЙ ЭФФЕКТ")</f>
        <v>ОТРИЦАТЕЛЬНЫЙ ЭФФЕКТ</v>
      </c>
    </row>
    <row r="4" ht="36" customHeight="1">
      <c r="A4" s="4" t="inlineStr">
        <is>
          <t>Обработка стимулятором</t>
        </is>
      </c>
      <c r="B4" s="5" t="n">
        <v>250</v>
      </c>
      <c r="C4" s="5" t="n">
        <v>0.6</v>
      </c>
      <c r="D4" s="5" t="n">
        <v>280</v>
      </c>
      <c r="E4" s="7">
        <f>C4*D4</f>
        <v>168.0</v>
      </c>
      <c r="F4" s="7">
        <f>E4-B4</f>
        <v>-82.0</v>
      </c>
      <c r="G4" s="7" t="str">
        <f>IF(F4&gt;=0,"ПОЛОЖИТЕЛЬНЫЙ ЭФФЕКТ","ОТРИЦАТЕЛЬНЫЙ ЭФФЕКТ")</f>
        <v>ОТРИЦАТЕЛЬНЫЙ ЭФФЕКТ</v>
      </c>
    </row>
    <row r="7">
      <c r="A7" t="inlineStr">
        <is>
          <t>Пояснение</t>
        </is>
      </c>
    </row>
    <row r="8">
      <c r="A8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9"/>
    <row r="10"/>
  </sheetData>
  <autoFilter ref="A1:G4"/>
  <mergeCells count="1">
    <mergeCell ref="A8:G10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(Культура)</t>
        </is>
      </c>
      <c r="B1" s="3" t="inlineStr">
        <is>
          <t>B (Выручка, сом/га)</t>
        </is>
      </c>
      <c r="C1" s="3" t="inlineStr">
        <is>
          <t>C (Явные VC, сом/га)</t>
        </is>
      </c>
      <c r="D1" s="3" t="inlineStr">
        <is>
          <t>D (Бухгалтерская маржа)</t>
        </is>
      </c>
      <c r="E1" s="3" t="inlineStr">
        <is>
          <t>E (Лучшая альтернатива)</t>
        </is>
      </c>
      <c r="F1" s="3" t="inlineStr">
        <is>
          <t>F (Экономическая маржа)</t>
        </is>
      </c>
      <c r="G1" s="3" t="inlineStr">
        <is>
          <t>G (Экономическое решение)</t>
        </is>
      </c>
    </row>
    <row r="2" ht="36" customHeight="1">
      <c r="A2" s="4" t="inlineStr">
        <is>
          <t>Хлопок (факт)</t>
        </is>
      </c>
      <c r="B2" s="5" t="n">
        <v>19500</v>
      </c>
      <c r="C2" s="5" t="n">
        <v>14800</v>
      </c>
      <c r="D2" s="7">
        <f>B2-C2</f>
        <v>4700.0</v>
      </c>
      <c r="E2" s="5" t="n">
        <v>5300</v>
      </c>
      <c r="F2" s="7">
        <f>D2-E2</f>
        <v>-600.0</v>
      </c>
      <c r="G2" s="7" t="str">
        <f>IF(F2&gt;=0,"ВЫГОДНО","НЕЭФФЕКТИВНО")</f>
        <v>НЕЭФФЕКТИВНО</v>
      </c>
    </row>
    <row r="3" ht="36" customHeight="1">
      <c r="A3" s="4" t="inlineStr">
        <is>
          <t>Пшеница</t>
        </is>
      </c>
      <c r="B3" s="5" t="n">
        <v>10000</v>
      </c>
      <c r="C3" s="5" t="n">
        <v>4700</v>
      </c>
      <c r="D3" s="7">
        <f>B3-C3</f>
        <v>5300.0</v>
      </c>
      <c r="E3" s="5" t="n">
        <v>5000</v>
      </c>
      <c r="F3" s="5" t="n">
        <v>300</v>
      </c>
      <c r="G3" s="4" t="inlineStr">
        <is>
          <t>Выше лучшей альтернативы на 300 сом/га</t>
        </is>
      </c>
    </row>
    <row r="4" ht="36" customHeight="1">
      <c r="A4" s="4" t="inlineStr">
        <is>
          <t>Люцерна</t>
        </is>
      </c>
      <c r="B4" s="5" t="n">
        <v>9500</v>
      </c>
      <c r="C4" s="5" t="n">
        <v>4500</v>
      </c>
      <c r="D4" s="7">
        <f>B4-C4</f>
        <v>5000.0</v>
      </c>
      <c r="E4" s="5" t="n">
        <v>5300</v>
      </c>
      <c r="F4" s="7">
        <f>D4-E4</f>
        <v>-300.0</v>
      </c>
      <c r="G4" s="7" t="str">
        <f>IF(F4&gt;=0,"ВЫГОДНО","НЕЭФФЕКТИВНО")</f>
        <v>НЕЭФФЕКТИВНО</v>
      </c>
    </row>
    <row r="7">
      <c r="A7" t="inlineStr">
        <is>
          <t>Пояснение</t>
        </is>
      </c>
    </row>
    <row r="8">
      <c r="A8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9"/>
    <row r="10"/>
  </sheetData>
  <autoFilter ref="A1:G4"/>
  <mergeCells count="1">
    <mergeCell ref="A8:G10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O (Ресурс / Материал)</t>
        </is>
      </c>
      <c r="B1" s="3" t="inlineStr">
        <is>
          <t>P (Цена поставщика, сом)</t>
        </is>
      </c>
      <c r="C1" s="3" t="inlineStr">
        <is>
          <t>Q (Мин. цена рынка, сом)</t>
        </is>
      </c>
      <c r="D1" s="3" t="inlineStr">
        <is>
          <t>R (Ценовое отклонение, сом)</t>
        </is>
      </c>
      <c r="E1" s="3" t="inlineStr">
        <is>
          <t>S (Ценовое отклонение, %)</t>
        </is>
      </c>
      <c r="F1" s="3" t="inlineStr">
        <is>
          <t>T (Статус защиты)</t>
        </is>
      </c>
      <c r="G1" s="3" t="inlineStr">
        <is>
          <t>U (Действие)</t>
        </is>
      </c>
    </row>
    <row r="2" ht="36" customHeight="1">
      <c r="A2" s="4" t="inlineStr">
        <is>
          <t>Карбамид (т)</t>
        </is>
      </c>
      <c r="B2" s="5" t="n">
        <v>6595</v>
      </c>
      <c r="C2" s="5" t="n">
        <v>5247</v>
      </c>
      <c r="D2" s="7">
        <f>B2-C2</f>
        <v>1348.0</v>
      </c>
      <c r="E2" s="8">
        <f>D2/C2</f>
        <v>0.2569087097388984</v>
      </c>
      <c r="F2" s="7" t="str">
        <f>IF(E2&gt;0.1,"РИСК ПЕРЕПЛАТЫ","ОК")</f>
        <v>РИСК ПЕРЕПЛАТЫ</v>
      </c>
      <c r="G2" s="7" t="str">
        <f>IF(E2&gt;0.1,"ТРЕБУЕТСЯ 3 КП","УТВЕРДИТЬ")</f>
        <v>ТРЕБУЕТСЯ 3 КП</v>
      </c>
    </row>
    <row r="3" ht="36" customHeight="1">
      <c r="A3" s="4" t="inlineStr">
        <is>
          <t>Аммофос (т)</t>
        </is>
      </c>
      <c r="B3" s="5" t="n">
        <v>9915</v>
      </c>
      <c r="C3" s="5" t="n">
        <v>8278</v>
      </c>
      <c r="D3" s="7">
        <f>B3-C3</f>
        <v>1637.0</v>
      </c>
      <c r="E3" s="8">
        <f>D3/C3</f>
        <v>0.197753080454216</v>
      </c>
      <c r="F3" s="7" t="str">
        <f>IF(E3&gt;0.1,"РИСК ПЕРЕПЛАТЫ","ОК")</f>
        <v>РИСК ПЕРЕПЛАТЫ</v>
      </c>
      <c r="G3" s="7" t="str">
        <f>IF(E3&gt;0.1,"ТРЕБУЕТСЯ 3 КП","УТВЕРДИТЬ")</f>
        <v>ТРЕБУЕТСЯ 3 КП</v>
      </c>
    </row>
    <row r="4" ht="36" customHeight="1">
      <c r="A4" s="4" t="inlineStr">
        <is>
          <t>Селитра (т)</t>
        </is>
      </c>
      <c r="B4" s="5" t="n">
        <v>4805</v>
      </c>
      <c r="C4" s="5" t="n">
        <v>4235</v>
      </c>
      <c r="D4" s="7">
        <f>B4-C4</f>
        <v>570.0</v>
      </c>
      <c r="E4" s="8">
        <f>D4/C4</f>
        <v>0.1345926800472255</v>
      </c>
      <c r="F4" s="7" t="str">
        <f>IF(E4&gt;0.1,"РИСК ПЕРЕПЛАТЫ","ОК")</f>
        <v>РИСК ПЕРЕПЛАТЫ</v>
      </c>
      <c r="G4" s="7" t="str">
        <f>IF(E4&gt;0.1,"ТРЕБУЕТСЯ 3 КП","УТВЕРДИТЬ")</f>
        <v>ТРЕБУЕТСЯ 3 КП</v>
      </c>
    </row>
    <row r="7">
      <c r="A7" t="inlineStr">
        <is>
          <t>Пояснение</t>
        </is>
      </c>
    </row>
    <row r="8">
      <c r="A8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9"/>
    <row r="10"/>
  </sheetData>
  <autoFilter ref="A1:G4"/>
  <mergeCells count="1">
    <mergeCell ref="A8:G10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(Ресурс)</t>
        </is>
      </c>
      <c r="B1" s="3" t="inlineStr">
        <is>
          <t>B (Поставщик А)</t>
        </is>
      </c>
      <c r="C1" s="3" t="inlineStr">
        <is>
          <t>C (Поставщик Б)</t>
        </is>
      </c>
      <c r="D1" s="3" t="inlineStr">
        <is>
          <t>D (Поставщик В)</t>
        </is>
      </c>
      <c r="E1" s="3" t="inlineStr">
        <is>
          <t>E (Мин. цена рынка)</t>
        </is>
      </c>
      <c r="F1" s="3" t="inlineStr">
        <is>
          <t>F (Цена контракта)</t>
        </is>
      </c>
      <c r="G1" s="3" t="inlineStr">
        <is>
          <t>G (Отклонение, %)</t>
        </is>
      </c>
      <c r="H1" s="3" t="inlineStr">
        <is>
          <t>H (Статус риска)</t>
        </is>
      </c>
    </row>
    <row r="2" ht="36" customHeight="1">
      <c r="A2" s="4" t="inlineStr">
        <is>
          <t>Карбамид (т)</t>
        </is>
      </c>
      <c r="B2" s="5" t="n">
        <v>5300</v>
      </c>
      <c r="C2" s="5" t="n">
        <v>5250</v>
      </c>
      <c r="D2" s="5" t="n">
        <v>5400</v>
      </c>
      <c r="E2" s="7">
        <f>MIN(B2:D2)</f>
        <v>5250.0</v>
      </c>
      <c r="F2" s="5" t="n">
        <v>6595</v>
      </c>
      <c r="G2" s="8">
        <f>(F2-E2)/E2</f>
        <v>0.2561904761904762</v>
      </c>
      <c r="H2" s="7" t="str">
        <f>IF(G2&gt;0.1,"КРАСНЫЙ ФЛАГ (ПЕРЕПЛАТА)","ОК")</f>
        <v>КРАСНЫЙ ФЛАГ (ПЕРЕПЛАТА)</v>
      </c>
    </row>
    <row r="3" ht="36" customHeight="1">
      <c r="A3" s="4" t="inlineStr">
        <is>
          <t>Аммофос (т)</t>
        </is>
      </c>
      <c r="B3" s="5" t="n">
        <v>8300</v>
      </c>
      <c r="C3" s="5" t="n">
        <v>8280</v>
      </c>
      <c r="D3" s="5" t="n">
        <v>8500</v>
      </c>
      <c r="E3" s="7">
        <f>MIN(B3:D3)</f>
        <v>8280.0</v>
      </c>
      <c r="F3" s="5" t="n">
        <v>9915</v>
      </c>
      <c r="G3" s="8">
        <f>(F3-E3)/E3</f>
        <v>0.19746376811594202</v>
      </c>
      <c r="H3" s="7" t="str">
        <f>IF(G3&gt;0.1,"КРАСНЫЙ ФЛАГ (ПЕРЕПЛАТА)","ОК")</f>
        <v>КРАСНЫЙ ФЛАГ (ПЕРЕПЛАТА)</v>
      </c>
    </row>
    <row r="4" ht="36" customHeight="1">
      <c r="A4" s="4" t="inlineStr">
        <is>
          <t>Дизтопливо (л)</t>
        </is>
      </c>
      <c r="B4" s="5" t="n">
        <v>11.2</v>
      </c>
      <c r="C4" s="5" t="n">
        <v>10.9</v>
      </c>
      <c r="D4" s="5" t="n">
        <v>11</v>
      </c>
      <c r="E4" s="7">
        <f>MIN(B4:D4)</f>
        <v>10.9</v>
      </c>
      <c r="F4" s="5" t="n">
        <v>12.5</v>
      </c>
      <c r="G4" s="8">
        <f>(F4-E4)/E4</f>
        <v>0.14678899082568803</v>
      </c>
      <c r="H4" s="7" t="str">
        <f>IF(G4&gt;0.1,"КРАСНЫЙ ФЛАГ (ПЕРЕПЛАТА)","ОК")</f>
        <v>КРАСНЫЙ ФЛАГ (ПЕРЕПЛАТА)</v>
      </c>
    </row>
    <row r="7">
      <c r="A7" t="inlineStr">
        <is>
          <t>Пояснение</t>
        </is>
      </c>
    </row>
    <row r="8">
      <c r="A8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9"/>
    <row r="10"/>
  </sheetData>
  <autoFilter ref="A1:H4"/>
  <mergeCells count="1">
    <mergeCell ref="A8:H10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Ресурс</t>
        </is>
      </c>
      <c r="B1" s="3" t="inlineStr">
        <is>
          <t>Гипотеза о спросе</t>
        </is>
      </c>
      <c r="C1" s="3" t="inlineStr">
        <is>
          <t>Что проверить</t>
        </is>
      </c>
      <c r="D1" s="3" t="inlineStr">
        <is>
          <t>Решение</t>
        </is>
      </c>
    </row>
    <row r="2" ht="36" customHeight="1">
      <c r="A2" s="4" t="inlineStr">
        <is>
          <t>Поливная вода</t>
        </is>
      </c>
      <c r="B2" s="4" t="inlineStr">
        <is>
          <t>Малая эластичность в критический период</t>
        </is>
      </c>
      <c r="C2" s="4" t="inlineStr">
        <is>
          <t>Заменители, срок и доступность воды</t>
        </is>
      </c>
      <c r="D2" s="4" t="inlineStr">
        <is>
          <t>Оценить теневую цену ограничения</t>
        </is>
      </c>
    </row>
    <row r="3" ht="36" customHeight="1">
      <c r="A3" s="4" t="inlineStr">
        <is>
          <t>Дизель</t>
        </is>
      </c>
      <c r="B3" s="4" t="inlineStr">
        <is>
          <t>В коротком периоде спрос может быть малоэластичным</t>
        </is>
      </c>
      <c r="C3" s="4" t="inlineStr">
        <is>
          <t>Запасы, техника, договоры</t>
        </is>
      </c>
      <c r="D3" s="4" t="inlineStr">
        <is>
          <t>Сравнить резерв с затратами хранения</t>
        </is>
      </c>
    </row>
    <row r="4" ht="36" customHeight="1">
      <c r="A4" s="4" t="inlineStr">
        <is>
          <t>Сорт семян</t>
        </is>
      </c>
      <c r="B4" s="4" t="inlineStr">
        <is>
          <t>Эластичность зависит от заменителей</t>
        </is>
      </c>
      <c r="C4" s="4" t="inlineStr">
        <is>
          <t>Всхожесть, агрономия, лицензии</t>
        </is>
      </c>
      <c r="D4" s="4" t="inlineStr">
        <is>
          <t>Сравнить ожидаемую маржу</t>
        </is>
      </c>
    </row>
    <row r="5" ht="36" customHeight="1">
      <c r="A5" s="4" t="inlineStr">
        <is>
          <t>Сырец одному покупателю</t>
        </is>
      </c>
      <c r="B5" s="4" t="inlineStr">
        <is>
          <t>Рыночная власть покупателя</t>
        </is>
      </c>
      <c r="C5" s="4" t="inlineStr">
        <is>
          <t>Число покупателей и возможность доставки</t>
        </is>
      </c>
      <c r="D5" s="4" t="inlineStr">
        <is>
          <t>Оценить альтернативные каналы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D5"/>
  <mergeCells count="1">
    <mergeCell ref="A9:D1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(Ресурс)</t>
        </is>
      </c>
      <c r="B1" s="3" t="inlineStr">
        <is>
          <t>B (P1, сом)</t>
        </is>
      </c>
      <c r="C1" s="3" t="inlineStr">
        <is>
          <t>C (P2, сом)</t>
        </is>
      </c>
      <c r="D1" s="3" t="inlineStr">
        <is>
          <t>D (Q1, единицы ресурса)</t>
        </is>
      </c>
      <c r="E1" s="3" t="inlineStr">
        <is>
          <t>E (Q2, единицы ресурса)</t>
        </is>
      </c>
      <c r="F1" s="3" t="inlineStr">
        <is>
          <t>F (ΔP, %)</t>
        </is>
      </c>
      <c r="G1" s="3" t="inlineStr">
        <is>
          <t>G (ΔQ, %)</t>
        </is>
      </c>
      <c r="H1" s="3" t="inlineStr">
        <is>
          <t>H (Ed)</t>
        </is>
      </c>
      <c r="I1" s="3" t="inlineStr">
        <is>
          <t>I (Тип спроса)</t>
        </is>
      </c>
      <c r="J1" s="3" t="inlineStr">
        <is>
          <t>J (Δ Выручки поставщика, сом)</t>
        </is>
      </c>
      <c r="K1" s="3" t="inlineStr">
        <is>
          <t>K (Стратегия защиты)</t>
        </is>
      </c>
    </row>
    <row r="2" ht="36" customHeight="1">
      <c r="A2" s="4" t="inlineStr">
        <is>
          <t>Карбамид (т; цена за т)</t>
        </is>
      </c>
      <c r="B2" s="5" t="n">
        <v>5247</v>
      </c>
      <c r="C2" s="5" t="n">
        <v>5770</v>
      </c>
      <c r="D2" s="5" t="n">
        <v>100</v>
      </c>
      <c r="E2" s="5" t="n">
        <v>96</v>
      </c>
      <c r="F2" s="8">
        <f>(C2-B2)/((C2+B2)/2)</f>
        <v>0.0949441771807207</v>
      </c>
      <c r="G2" s="8">
        <f>(E2-D2)/((E2+D2)/2)</f>
        <v>-0.04081632653061224</v>
      </c>
      <c r="H2" s="7">
        <f>ABS(G2/F2)</f>
        <v>0.4298981542903968</v>
      </c>
      <c r="I2" s="7" t="str">
        <f>IF(H2&gt;1,"ЭЛАСТИЧНЫЙ","НЕЭЛАСТИЧНЫЙ")</f>
        <v>НЕЭЛАСТИЧНЫЙ</v>
      </c>
      <c r="J2" s="7">
        <f>C2*E2-B2*D2</f>
        <v>29220.0</v>
      </c>
      <c r="K2" s="7" t="str">
        <f>IF(H2&lt;1,"РАМОЧНЫЙ КОНТРАКТ ДО ПИКА","ТОРГ И ТЕНДЕР")</f>
        <v>РАМОЧНЫЙ КОНТРАКТ ДО ПИКА</v>
      </c>
    </row>
    <row r="3" ht="36" customHeight="1">
      <c r="A3" s="4" t="inlineStr">
        <is>
          <t>Дизтопливо (л; цена за л)</t>
        </is>
      </c>
      <c r="B3" s="5" t="n">
        <v>10.9</v>
      </c>
      <c r="C3" s="5" t="n">
        <v>12.5</v>
      </c>
      <c r="D3" s="5" t="n">
        <v>45000</v>
      </c>
      <c r="E3" s="5" t="n">
        <v>43000</v>
      </c>
      <c r="F3" s="8">
        <f>(C3-B3)/((C3+B3)/2)</f>
        <v>0.13675213675213674</v>
      </c>
      <c r="G3" s="8">
        <f>(E3-D3)/((E3+D3)/2)</f>
        <v>-0.045454545454545456</v>
      </c>
      <c r="H3" s="7">
        <f>ABS(G3/F3)</f>
        <v>0.3323863636363637</v>
      </c>
      <c r="I3" s="7" t="str">
        <f>IF(H3&gt;1,"ЭЛАСТИЧНЫЙ","НЕЭЛАСТИЧНЫЙ")</f>
        <v>НЕЭЛАСТИЧНЫЙ</v>
      </c>
      <c r="J3" s="7">
        <f>C3*E3-B3*D3</f>
        <v>47000.0</v>
      </c>
      <c r="K3" s="7" t="str">
        <f>IF(H3&lt;1,"СОЗДАНИЕ ЗАПАСА В ЦИСТЕРНАХ","ТОРГ И ТЕНДЕР")</f>
        <v>СОЗДАНИЕ ЗАПАСА В ЦИСТЕРНАХ</v>
      </c>
    </row>
    <row r="4" ht="36" customHeight="1">
      <c r="A4" s="4" t="inlineStr">
        <is>
          <t>Семена Ф65 (кг; цена за кг)</t>
        </is>
      </c>
      <c r="B4" s="5" t="n">
        <v>39</v>
      </c>
      <c r="C4" s="5" t="n">
        <v>45</v>
      </c>
      <c r="D4" s="5" t="n">
        <v>15000</v>
      </c>
      <c r="E4" s="5" t="n">
        <v>10000</v>
      </c>
      <c r="F4" s="8">
        <f>(C4-B4)/((C4+B4)/2)</f>
        <v>0.14285714285714285</v>
      </c>
      <c r="G4" s="8">
        <f>(E4-D4)/((E4+D4)/2)</f>
        <v>-0.4</v>
      </c>
      <c r="H4" s="7">
        <f>ABS(G4/F4)</f>
        <v>2.8000000000000003</v>
      </c>
      <c r="I4" s="7" t="str">
        <f>IF(H4&gt;1,"ЭЛАСТИЧНЫЙ","НЕЭЛАСТИЧНЫЙ")</f>
        <v>ЭЛАСТИЧНЫЙ</v>
      </c>
      <c r="J4" s="7">
        <f>C4*E4-B4*D4</f>
        <v>-135000.0</v>
      </c>
      <c r="K4" s="7" t="str">
        <f>IF(H4&lt;1,"РАМОЧНЫЙ КОНТРАКТ ДО ПИКА","ПЕРЕХОД НА БУХОРО-6")</f>
        <v>ПЕРЕХОД НА БУХОРО-6</v>
      </c>
    </row>
    <row r="7">
      <c r="A7" t="inlineStr">
        <is>
          <t>Пояснение</t>
        </is>
      </c>
    </row>
    <row r="8">
      <c r="A8" s="6" t="inlineStr">
        <is>
          <t>Дуговая эластичность рассчитана по средней точке. Единицы количества: удобрения — т, дизель — л, семена — кг. Наблюдаемая связь не идентифицирует причинную кривую спроса.</t>
        </is>
      </c>
    </row>
    <row r="9"/>
    <row r="10"/>
  </sheetData>
  <autoFilter ref="A1:K4"/>
  <mergeCells count="1">
    <mergeCell ref="A8:K10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(Урожайность, ц/га)</t>
        </is>
      </c>
      <c r="B1" s="3" t="inlineStr">
        <is>
          <t>B (FC, сом/га)</t>
        </is>
      </c>
      <c r="C1" s="3" t="inlineStr">
        <is>
          <t>C (VC, сом/га)</t>
        </is>
      </c>
      <c r="D1" s="3" t="inlineStr">
        <is>
          <t>D (TC, сом/га)</t>
        </is>
      </c>
      <c r="E1" s="3" t="inlineStr">
        <is>
          <t>E (AFC, сом/ц)</t>
        </is>
      </c>
      <c r="F1" s="3" t="inlineStr">
        <is>
          <t>F (AVC, сом/ц)</t>
        </is>
      </c>
      <c r="G1" s="3" t="inlineStr">
        <is>
          <t>G (ATC, сом/ц)</t>
        </is>
      </c>
      <c r="H1" s="3" t="inlineStr">
        <is>
          <t>H (Статус маржи при цене 600)</t>
        </is>
      </c>
    </row>
    <row r="2" ht="36" customHeight="1">
      <c r="A2" s="5" t="n">
        <v>20</v>
      </c>
      <c r="B2" s="5" t="n">
        <v>4000</v>
      </c>
      <c r="C2" s="5" t="n">
        <v>11050</v>
      </c>
      <c r="D2" s="7">
        <f>B2+C2</f>
        <v>15050.0</v>
      </c>
      <c r="E2" s="7">
        <f>B2/A2</f>
        <v>200.0</v>
      </c>
      <c r="F2" s="7">
        <f>C2/A2</f>
        <v>552.5</v>
      </c>
      <c r="G2" s="7">
        <f>D2/A2</f>
        <v>752.5</v>
      </c>
      <c r="H2" s="7" t="str">
        <f>IF(G2&lt;=600,"ПРИБЫЛЬ","УБЫТОК")</f>
        <v>УБЫТОК</v>
      </c>
    </row>
    <row r="3" ht="36" customHeight="1">
      <c r="A3" s="5" t="n">
        <v>25</v>
      </c>
      <c r="B3" s="5" t="n">
        <v>4000</v>
      </c>
      <c r="C3" s="5" t="n">
        <v>11050</v>
      </c>
      <c r="D3" s="7">
        <f>B3+C3</f>
        <v>15050.0</v>
      </c>
      <c r="E3" s="7">
        <f>B3/A3</f>
        <v>160.0</v>
      </c>
      <c r="F3" s="7">
        <f>C3/A3</f>
        <v>442.0</v>
      </c>
      <c r="G3" s="7">
        <f>D3/A3</f>
        <v>602.0</v>
      </c>
      <c r="H3" s="7" t="str">
        <f>IF(G3&lt;=600,"ПРИБЫЛЬ","УБЫТОК")</f>
        <v>УБЫТОК</v>
      </c>
    </row>
    <row r="4" ht="36" customHeight="1">
      <c r="A4" s="5" t="n">
        <v>30</v>
      </c>
      <c r="B4" s="5" t="n">
        <v>4000</v>
      </c>
      <c r="C4" s="5" t="n">
        <v>11050</v>
      </c>
      <c r="D4" s="7">
        <f>B4+C4</f>
        <v>15050.0</v>
      </c>
      <c r="E4" s="7">
        <f>B4/A4</f>
        <v>133.33333333333334</v>
      </c>
      <c r="F4" s="7">
        <f>C4/A4</f>
        <v>368.3333333333333</v>
      </c>
      <c r="G4" s="7">
        <f>D4/A4</f>
        <v>501.6666666666667</v>
      </c>
      <c r="H4" s="7" t="str">
        <f>IF(G4&lt;=600,"ПРИБЫЛЬ","УБЫТОК")</f>
        <v>ПРИБЫЛЬ</v>
      </c>
    </row>
    <row r="5" ht="36" customHeight="1">
      <c r="A5" s="5" t="n">
        <v>35</v>
      </c>
      <c r="B5" s="5" t="n">
        <v>4000</v>
      </c>
      <c r="C5" s="5" t="n">
        <v>11050</v>
      </c>
      <c r="D5" s="7">
        <f>B5+C5</f>
        <v>15050.0</v>
      </c>
      <c r="E5" s="7">
        <f>B5/A5</f>
        <v>114.28571428571429</v>
      </c>
      <c r="F5" s="7">
        <f>C5/A5</f>
        <v>315.7142857142857</v>
      </c>
      <c r="G5" s="7">
        <f>D5/A5</f>
        <v>430.0</v>
      </c>
      <c r="H5" s="7" t="str">
        <f>IF(G5&lt;=600,"ПРИБЫЛЬ","УБЫТОК")</f>
        <v>ПРИБЫЛЬ</v>
      </c>
    </row>
    <row r="6" ht="36" customHeight="1">
      <c r="A6" s="5" t="n">
        <v>40</v>
      </c>
      <c r="B6" s="5" t="n">
        <v>4000</v>
      </c>
      <c r="C6" s="5" t="n">
        <v>11050</v>
      </c>
      <c r="D6" s="7">
        <f>B6+C6</f>
        <v>15050.0</v>
      </c>
      <c r="E6" s="7">
        <f>B6/A6</f>
        <v>100.0</v>
      </c>
      <c r="F6" s="7">
        <f>C6/A6</f>
        <v>276.25</v>
      </c>
      <c r="G6" s="7">
        <f>D6/A6</f>
        <v>376.25</v>
      </c>
      <c r="H6" s="7" t="str">
        <f>IF(G6&lt;=600,"ПРИБЫЛЬ","УБЫТОК")</f>
        <v>ПРИБЫЛЬ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H6"/>
  <mergeCells count="1">
    <mergeCell ref="A10:H12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Структура рынка</t>
        </is>
      </c>
      <c r="B1" s="3" t="inlineStr">
        <is>
          <t>Число продавцов</t>
        </is>
      </c>
      <c r="C1" s="3" t="inlineStr">
        <is>
          <t>Контроль над ценой</t>
        </is>
      </c>
      <c r="D1" s="3" t="inlineStr">
        <is>
          <t>Барьеры входа</t>
        </is>
      </c>
      <c r="E1" s="3" t="inlineStr">
        <is>
          <t>Пример в АПК</t>
        </is>
      </c>
    </row>
    <row r="2" ht="36" customHeight="1">
      <c r="A2" s="4" t="inlineStr">
        <is>
          <t>Совершенная конкуренция</t>
        </is>
      </c>
      <c r="B2" s="4" t="inlineStr">
        <is>
          <t>Очень много мелких</t>
        </is>
      </c>
      <c r="C2" s="4" t="inlineStr">
        <is>
          <t>Отсутствует (Price Taker)</t>
        </is>
      </c>
      <c r="D2" s="4" t="inlineStr">
        <is>
          <t>Нет</t>
        </is>
      </c>
      <c r="E2" s="4" t="inlineStr">
        <is>
          <t>Биржевой рынок пшеницы/сырца между фермерами</t>
        </is>
      </c>
    </row>
    <row r="3" ht="36" customHeight="1">
      <c r="A3" s="4" t="inlineStr">
        <is>
          <t>Монополистическая конкуренция</t>
        </is>
      </c>
      <c r="B3" s="4" t="inlineStr">
        <is>
          <t>Много</t>
        </is>
      </c>
      <c r="C3" s="4" t="inlineStr">
        <is>
          <t>Слабый (дифференциация товара)</t>
        </is>
      </c>
      <c r="D3" s="4" t="inlineStr">
        <is>
          <t>Низкие</t>
        </is>
      </c>
      <c r="E3" s="4" t="inlineStr">
        <is>
          <t>Семена разных гибридов и брендов (Ф65, Джунтай)</t>
        </is>
      </c>
    </row>
    <row r="4" ht="36" customHeight="1">
      <c r="A4" s="4" t="inlineStr">
        <is>
          <t>Олигополия</t>
        </is>
      </c>
      <c r="B4" s="4" t="inlineStr">
        <is>
          <t>Несколько крупных</t>
        </is>
      </c>
      <c r="C4" s="4" t="inlineStr">
        <is>
          <t>Высокий (зависит от действий других)</t>
        </is>
      </c>
      <c r="D4" s="4" t="inlineStr">
        <is>
          <t>Высокие</t>
        </is>
      </c>
      <c r="E4" s="4" t="inlineStr">
        <is>
          <t>Рынок минеральных удобрений (Аммофос, Карбамид)</t>
        </is>
      </c>
    </row>
    <row r="5" ht="36" customHeight="1">
      <c r="A5" s="4" t="inlineStr">
        <is>
          <t>Монополия</t>
        </is>
      </c>
      <c r="B5" s="4" t="inlineStr">
        <is>
          <t>Один</t>
        </is>
      </c>
      <c r="C5" s="4" t="inlineStr">
        <is>
          <t>Абсолютный (Price Maker)</t>
        </is>
      </c>
      <c r="D5" s="4" t="inlineStr">
        <is>
          <t>Очень высокие / Блокировка</t>
        </is>
      </c>
      <c r="E5" s="4" t="inlineStr">
        <is>
          <t>Местный поставщик электроэнергии / поливной воды</t>
        </is>
      </c>
    </row>
    <row r="6" ht="36" customHeight="1">
      <c r="A6" s="4" t="inlineStr">
        <is>
          <t>Монопсония</t>
        </is>
      </c>
      <c r="B6" s="4" t="inlineStr">
        <is>
          <t>Много продавцов, 1 покупатель</t>
        </is>
      </c>
      <c r="C6" s="4" t="inlineStr">
        <is>
          <t>Контроль со стороны покупателя</t>
        </is>
      </c>
      <c r="D6" s="4" t="inlineStr">
        <is>
          <t>Выход на других покупателей заблокирован</t>
        </is>
      </c>
      <c r="E6" s="4" t="inlineStr">
        <is>
          <t>Государственные закупки хлопка (B2G)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E6"/>
  <mergeCells count="1">
    <mergeCell ref="A10:E1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(Ресурс / Продукт)</t>
        </is>
      </c>
      <c r="B1" s="3" t="inlineStr">
        <is>
          <t>B (Тип рынка)</t>
        </is>
      </c>
      <c r="C1" s="3" t="inlineStr">
        <is>
          <t>C (Доля Поставщика 1, %)</t>
        </is>
      </c>
      <c r="D1" s="3" t="inlineStr">
        <is>
          <t>D (Доля Поставщика 2, %)</t>
        </is>
      </c>
      <c r="E1" s="3" t="inlineStr">
        <is>
          <t>E (Доля Поставщика 3, %)</t>
        </is>
      </c>
      <c r="F1" s="3" t="inlineStr">
        <is>
          <t>F (CR3, %)</t>
        </is>
      </c>
      <c r="G1" s="3" t="inlineStr">
        <is>
          <t>G (Частичный HHI, пункты)</t>
        </is>
      </c>
      <c r="H1" s="3" t="inlineStr">
        <is>
          <t>H (Интерпретация)</t>
        </is>
      </c>
    </row>
    <row r="2" ht="36" customHeight="1">
      <c r="A2" s="4" t="inlineStr">
        <is>
          <t>Удобрения (Аммофос)</t>
        </is>
      </c>
      <c r="B2" s="4" t="inlineStr">
        <is>
          <t>Олигополия</t>
        </is>
      </c>
      <c r="C2" s="5" t="n">
        <v>45</v>
      </c>
      <c r="D2" s="5" t="n">
        <v>30</v>
      </c>
      <c r="E2" s="5" t="n">
        <v>15</v>
      </c>
      <c r="F2" s="8">
        <f>SUM(C2:E2)</f>
        <v>90.0</v>
      </c>
      <c r="G2" s="7">
        <f>C2^2+D2^2+E2^2</f>
        <v>3150.0</v>
      </c>
      <c r="H2" s="4" t="inlineStr">
        <is>
          <t>Нижняя граница HHI; доли остальных фирм неизвестны</t>
        </is>
      </c>
    </row>
    <row r="3" ht="36" customHeight="1">
      <c r="A3" s="4" t="inlineStr">
        <is>
          <t>ГСМ (Дизтопливо)</t>
        </is>
      </c>
      <c r="B3" s="4" t="inlineStr">
        <is>
          <t>Олигополия</t>
        </is>
      </c>
      <c r="C3" s="5" t="n">
        <v>50</v>
      </c>
      <c r="D3" s="5" t="n">
        <v>25</v>
      </c>
      <c r="E3" s="5" t="n">
        <v>20</v>
      </c>
      <c r="F3" s="8">
        <f>SUM(C3:E3)</f>
        <v>95.0</v>
      </c>
      <c r="G3" s="7">
        <f>C3^2+D3^2+E3^2</f>
        <v>3525.0</v>
      </c>
      <c r="H3" s="4" t="inlineStr">
        <is>
          <t>Нижняя граница HHI; доли остальных фирм неизвестны</t>
        </is>
      </c>
    </row>
    <row r="4" ht="36" customHeight="1">
      <c r="A4" s="4" t="inlineStr">
        <is>
          <t>Семена</t>
        </is>
      </c>
      <c r="B4" s="4" t="inlineStr">
        <is>
          <t>Моноп. Конкур.</t>
        </is>
      </c>
      <c r="C4" s="5" t="n">
        <v>25</v>
      </c>
      <c r="D4" s="5" t="n">
        <v>20</v>
      </c>
      <c r="E4" s="5" t="n">
        <v>15</v>
      </c>
      <c r="F4" s="8">
        <f>SUM(C4:E4)</f>
        <v>60.0</v>
      </c>
      <c r="G4" s="7">
        <f>C4^2+D4^2+E4^2</f>
        <v>1250.0</v>
      </c>
      <c r="H4" s="4" t="inlineStr">
        <is>
          <t>Нижняя граница HHI; доли остальных фирм неизвестны</t>
        </is>
      </c>
    </row>
    <row r="7">
      <c r="A7" t="inlineStr">
        <is>
          <t>Пояснение</t>
        </is>
      </c>
    </row>
    <row r="8">
      <c r="A8" s="6" t="inlineStr">
        <is>
          <t>CR3 — сумма трёх долей. Частичный HHI не включает прочих поставщиков. Концентрация сама по себе не доказывает сговор; границы рынка и регуляторные пороги требуют отдельного обоснования.</t>
        </is>
      </c>
    </row>
    <row r="9"/>
    <row r="10"/>
  </sheetData>
  <autoFilter ref="A1:H4"/>
  <mergeCells count="1">
    <mergeCell ref="A8:H10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(Проект / Платеж)</t>
        </is>
      </c>
      <c r="B1" s="3" t="inlineStr">
        <is>
          <t>B (FV, сом)</t>
        </is>
      </c>
      <c r="C1" s="3" t="inlineStr">
        <is>
          <t>C (Лет, n)</t>
        </is>
      </c>
      <c r="D1" s="3" t="inlineStr">
        <is>
          <t>D (Ставка r, %)</t>
        </is>
      </c>
      <c r="E1" s="3" t="inlineStr">
        <is>
          <t>E (PV, сом)</t>
        </is>
      </c>
      <c r="F1" s="3" t="inlineStr">
        <is>
          <t>F (Инфляция, %)</t>
        </is>
      </c>
      <c r="G1" s="3" t="inlineStr">
        <is>
          <t>G (FV в покупательной способности базового года)</t>
        </is>
      </c>
      <c r="H1" s="3" t="inlineStr">
        <is>
          <t>H (Решение)</t>
        </is>
      </c>
    </row>
    <row r="2" ht="36" customHeight="1">
      <c r="A2" s="4" t="inlineStr">
        <is>
          <t>Комбайн (отсрочка)</t>
        </is>
      </c>
      <c r="B2" s="5" t="n">
        <v>1000000</v>
      </c>
      <c r="C2" s="5" t="n">
        <v>2</v>
      </c>
      <c r="D2" s="5" t="n">
        <v>12</v>
      </c>
      <c r="E2" s="7">
        <f>B2/(1+D2/100)^C2</f>
        <v>797193.8775510202</v>
      </c>
      <c r="F2" s="5" t="n">
        <v>14</v>
      </c>
      <c r="G2" s="7">
        <f>B2/(1+F2/100)^C2</f>
        <v>769467.5284702984</v>
      </c>
      <c r="H2" s="4" t="inlineStr">
        <is>
          <t>Сравнить PV с ценой немедленной оплаты</t>
        </is>
      </c>
    </row>
    <row r="3" ht="36" customHeight="1">
      <c r="A3" s="4" t="inlineStr">
        <is>
          <t>Склад (инвестиция)</t>
        </is>
      </c>
      <c r="B3" s="5" t="n">
        <v>500000</v>
      </c>
      <c r="C3" s="5" t="n">
        <v>3</v>
      </c>
      <c r="D3" s="5" t="n">
        <v>12</v>
      </c>
      <c r="E3" s="7">
        <f>B3/(1+D3/100)^C3</f>
        <v>355890.1239067054</v>
      </c>
      <c r="F3" s="5" t="n">
        <v>14</v>
      </c>
      <c r="G3" s="7">
        <f>B3/(1+F3/100)^C3</f>
        <v>337485.758101008</v>
      </c>
      <c r="H3" s="4" t="inlineStr">
        <is>
          <t>Сравнить PV с ценой немедленной оплаты</t>
        </is>
      </c>
    </row>
    <row r="4" ht="36" customHeight="1">
      <c r="A4" s="4" t="inlineStr">
        <is>
          <t>Семена (рассрочка)</t>
        </is>
      </c>
      <c r="B4" s="5" t="n">
        <v>150000</v>
      </c>
      <c r="C4" s="5" t="n">
        <v>1</v>
      </c>
      <c r="D4" s="5" t="n">
        <v>12</v>
      </c>
      <c r="E4" s="7">
        <f>B4/(1+D4/100)^C4</f>
        <v>133928.57142857142</v>
      </c>
      <c r="F4" s="5" t="n">
        <v>14</v>
      </c>
      <c r="G4" s="7">
        <f>B4/(1+F4/100)^C4</f>
        <v>131578.94736842104</v>
      </c>
      <c r="H4" s="4" t="inlineStr">
        <is>
          <t>Сравнить PV с ценой немедленной оплаты</t>
        </is>
      </c>
    </row>
    <row r="7">
      <c r="A7" t="inlineStr">
        <is>
          <t>Пояснение</t>
        </is>
      </c>
    </row>
    <row r="8">
      <c r="A8" s="6" t="inlineStr">
        <is>
          <t>Ставки в исходных ячейках 12 и 14 делятся на 100. Столбец G выражает будущую сумму в ценах базового года; он не заменяет финансовое дисконтирование E. Отсрочка выгодна только после сравнения с альтернативой.</t>
        </is>
      </c>
    </row>
    <row r="9"/>
    <row r="10"/>
  </sheetData>
  <autoFilter ref="A1:H4"/>
  <mergeCells count="1">
    <mergeCell ref="A8:H10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(Код)</t>
        </is>
      </c>
      <c r="B1" s="3" t="inlineStr">
        <is>
          <t>B (Статья затрат)</t>
        </is>
      </c>
      <c r="C1" s="3" t="inlineStr">
        <is>
          <t>C (Тип затрат)</t>
        </is>
      </c>
      <c r="D1" s="3" t="inlineStr">
        <is>
          <t>D (Ед. изм.)</t>
        </is>
      </c>
      <c r="E1" s="3" t="inlineStr">
        <is>
          <t>E (Норма/га)</t>
        </is>
      </c>
      <c r="F1" s="3" t="inlineStr">
        <is>
          <t>F (Цена/Ед, сом.)</t>
        </is>
      </c>
      <c r="G1" s="3" t="inlineStr">
        <is>
          <t>G (Сумма, сом/га)</t>
        </is>
      </c>
    </row>
    <row r="2" ht="36" customHeight="1">
      <c r="A2" s="5" t="n">
        <v>1</v>
      </c>
      <c r="B2" s="4" t="inlineStr">
        <is>
          <t>Прямые материальные затраты</t>
        </is>
      </c>
      <c r="C2" s="4" t="inlineStr"/>
      <c r="D2" s="4" t="inlineStr"/>
      <c r="E2" s="4" t="inlineStr"/>
      <c r="F2" s="4" t="inlineStr"/>
      <c r="G2" s="7">
        <f>SUM(G3:G6)</f>
        <v>6222.0</v>
      </c>
    </row>
    <row r="3" ht="36" customHeight="1">
      <c r="A3" s="5" t="n">
        <v>1.1</v>
      </c>
      <c r="B3" s="4" t="inlineStr">
        <is>
          <t>Семена Ф64/Ф65</t>
        </is>
      </c>
      <c r="C3" s="4" t="inlineStr">
        <is>
          <t>VC</t>
        </is>
      </c>
      <c r="D3" s="4" t="inlineStr">
        <is>
          <t>кг</t>
        </is>
      </c>
      <c r="E3" s="5" t="n">
        <v>30</v>
      </c>
      <c r="F3" s="5" t="n">
        <v>32</v>
      </c>
      <c r="G3" s="7">
        <f>E3*F3</f>
        <v>960.0</v>
      </c>
    </row>
    <row r="4" ht="36" customHeight="1">
      <c r="A4" s="5" t="n">
        <v>1.2</v>
      </c>
      <c r="B4" s="4" t="inlineStr">
        <is>
          <t>Удобрения (Карбамид, Нитрамофос)</t>
        </is>
      </c>
      <c r="C4" s="4" t="inlineStr">
        <is>
          <t>VC</t>
        </is>
      </c>
      <c r="D4" s="4" t="inlineStr">
        <is>
          <t>кг</t>
        </is>
      </c>
      <c r="E4" s="5" t="n">
        <v>450</v>
      </c>
      <c r="F4" s="5" t="n">
        <v>6.76</v>
      </c>
      <c r="G4" s="7">
        <f>E4*F4</f>
        <v>3042.0</v>
      </c>
    </row>
    <row r="5" ht="36" customHeight="1">
      <c r="A5" s="5" t="n">
        <v>1.3</v>
      </c>
      <c r="B5" s="4" t="inlineStr">
        <is>
          <t>Средства защиты растений (СЗР)</t>
        </is>
      </c>
      <c r="C5" s="4" t="inlineStr">
        <is>
          <t>VC</t>
        </is>
      </c>
      <c r="D5" s="4" t="inlineStr">
        <is>
          <t>га</t>
        </is>
      </c>
      <c r="E5" s="5" t="n">
        <v>1</v>
      </c>
      <c r="F5" s="5" t="n">
        <v>900</v>
      </c>
      <c r="G5" s="7">
        <f>E5*F5</f>
        <v>900.0</v>
      </c>
    </row>
    <row r="6" ht="36" customHeight="1">
      <c r="A6" s="5" t="n">
        <v>1.4</v>
      </c>
      <c r="B6" s="4" t="inlineStr">
        <is>
          <t>Дизельное топливо (ГСМ)</t>
        </is>
      </c>
      <c r="C6" s="4" t="inlineStr">
        <is>
          <t>VC</t>
        </is>
      </c>
      <c r="D6" s="4" t="inlineStr">
        <is>
          <t>л</t>
        </is>
      </c>
      <c r="E6" s="5" t="n">
        <v>120</v>
      </c>
      <c r="F6" s="5" t="n">
        <v>11</v>
      </c>
      <c r="G6" s="7">
        <f>E6*F6</f>
        <v>1320.0</v>
      </c>
    </row>
    <row r="7" ht="36" customHeight="1">
      <c r="A7" s="5" t="n">
        <v>2</v>
      </c>
      <c r="B7" s="4" t="inlineStr">
        <is>
          <t>Прямые затраты на оплату труда</t>
        </is>
      </c>
      <c r="C7" s="4" t="inlineStr"/>
      <c r="D7" s="4" t="inlineStr"/>
      <c r="E7" s="4" t="inlineStr"/>
      <c r="F7" s="4" t="inlineStr"/>
      <c r="G7" s="7">
        <f>SUM(G8:G10)</f>
        <v>8576.0</v>
      </c>
    </row>
    <row r="8" ht="36" customHeight="1">
      <c r="A8" s="5" t="n">
        <v>2.1</v>
      </c>
      <c r="B8" s="4" t="inlineStr">
        <is>
          <t>Полевые механизированные работы</t>
        </is>
      </c>
      <c r="C8" s="4" t="inlineStr">
        <is>
          <t>VC</t>
        </is>
      </c>
      <c r="D8" s="4" t="inlineStr">
        <is>
          <t>га</t>
        </is>
      </c>
      <c r="E8" s="5" t="n">
        <v>1</v>
      </c>
      <c r="F8" s="5" t="n">
        <v>500</v>
      </c>
      <c r="G8" s="7">
        <f>E8*F8</f>
        <v>500.0</v>
      </c>
    </row>
    <row r="9" ht="36" customHeight="1">
      <c r="A9" s="5" t="n">
        <v>2.2</v>
      </c>
      <c r="B9" s="4" t="inlineStr">
        <is>
          <t>Ручные работы (тариф 2026)</t>
        </is>
      </c>
      <c r="C9" s="4" t="inlineStr">
        <is>
          <t>VC</t>
        </is>
      </c>
      <c r="D9" s="4" t="inlineStr">
        <is>
          <t>га</t>
        </is>
      </c>
      <c r="E9" s="5" t="n">
        <v>1</v>
      </c>
      <c r="F9" s="5" t="n">
        <v>5076</v>
      </c>
      <c r="G9" s="7">
        <f>E9*F9</f>
        <v>5076.0</v>
      </c>
    </row>
    <row r="10" ht="36" customHeight="1">
      <c r="A10" s="5" t="n">
        <v>2.3</v>
      </c>
      <c r="B10" s="4" t="inlineStr">
        <is>
          <t>Сбор хлопка-сырца</t>
        </is>
      </c>
      <c r="C10" s="4" t="inlineStr">
        <is>
          <t>VC</t>
        </is>
      </c>
      <c r="D10" s="4" t="inlineStr">
        <is>
          <t>кг</t>
        </is>
      </c>
      <c r="E10" s="5" t="n">
        <v>2500</v>
      </c>
      <c r="F10" s="5" t="n">
        <v>1.2</v>
      </c>
      <c r="G10" s="7">
        <f>E10*F10</f>
        <v>3000.0</v>
      </c>
    </row>
    <row r="11" ht="36" customHeight="1">
      <c r="A11" s="5" t="n">
        <v>3</v>
      </c>
      <c r="B11" s="4" t="inlineStr">
        <is>
          <t>Прочие прямые операционные</t>
        </is>
      </c>
      <c r="C11" s="4" t="inlineStr"/>
      <c r="D11" s="4" t="inlineStr"/>
      <c r="E11" s="4" t="inlineStr"/>
      <c r="F11" s="4" t="inlineStr"/>
      <c r="G11" s="7">
        <f>SUM(G12:G13)</f>
        <v>4000.0</v>
      </c>
    </row>
    <row r="12" ht="36" customHeight="1">
      <c r="A12" s="5" t="n">
        <v>3.1</v>
      </c>
      <c r="B12" s="4" t="inlineStr">
        <is>
          <t>Полив (услуги водообеспечения)</t>
        </is>
      </c>
      <c r="C12" s="4" t="inlineStr">
        <is>
          <t>VC</t>
        </is>
      </c>
      <c r="D12" s="4" t="inlineStr">
        <is>
          <t>полив</t>
        </is>
      </c>
      <c r="E12" s="5" t="n">
        <v>5</v>
      </c>
      <c r="F12" s="5" t="n">
        <v>200</v>
      </c>
      <c r="G12" s="7">
        <f>E12*F12</f>
        <v>1000.0</v>
      </c>
    </row>
    <row r="13" ht="36" customHeight="1">
      <c r="A13" s="5" t="n">
        <v>3.2</v>
      </c>
      <c r="B13" s="4" t="inlineStr">
        <is>
          <t>Аренда земли (Иджора)</t>
        </is>
      </c>
      <c r="C13" s="4" t="inlineStr">
        <is>
          <t>FC</t>
        </is>
      </c>
      <c r="D13" s="4" t="inlineStr">
        <is>
          <t>га</t>
        </is>
      </c>
      <c r="E13" s="5" t="n">
        <v>1</v>
      </c>
      <c r="F13" s="5" t="n">
        <v>3000</v>
      </c>
      <c r="G13" s="7">
        <f>E13*F13</f>
        <v>3000.0</v>
      </c>
    </row>
    <row r="14" ht="36" customHeight="1">
      <c r="A14" s="5" t="n">
        <v>4</v>
      </c>
      <c r="B14" s="4" t="inlineStr">
        <is>
          <t>ПОЛНАЯ СЕБЕСТОИМОСТЬ (TC)</t>
        </is>
      </c>
      <c r="C14" s="4" t="inlineStr"/>
      <c r="D14" s="4" t="inlineStr"/>
      <c r="E14" s="4" t="inlineStr"/>
      <c r="F14" s="4" t="inlineStr"/>
      <c r="G14" s="7">
        <f>G2+G7+G11</f>
        <v>18798.0</v>
      </c>
    </row>
    <row r="17">
      <c r="A17" t="inlineStr">
        <is>
          <t>Пояснение</t>
        </is>
      </c>
    </row>
    <row r="18">
      <c r="A18" s="6" t="inlineStr">
        <is>
          <t>Исправлены ссылки строк, подытоги и доли. Итого 18 798 сомони/га; удобрения 450 × 6,76 = 3 042. Обозначение VC здесь относится преимущественно к площади, а не к урожаю: при изменении урожайности фиксированная норма затрат на гектар не меняется автоматически.</t>
        </is>
      </c>
    </row>
    <row r="19"/>
    <row r="20"/>
  </sheetData>
  <autoFilter ref="A1:G14"/>
  <mergeCells count="1">
    <mergeCell ref="A18:G20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(Статья)</t>
        </is>
      </c>
      <c r="B1" s="3" t="inlineStr">
        <is>
          <t>B (Тип)</t>
        </is>
      </c>
      <c r="C1" s="3" t="inlineStr">
        <is>
          <t>C (Норма)</t>
        </is>
      </c>
      <c r="D1" s="3" t="inlineStr">
        <is>
          <t>D (Ед.)</t>
        </is>
      </c>
      <c r="E1" s="3" t="inlineStr">
        <is>
          <t>E (Цена, сом)</t>
        </is>
      </c>
      <c r="F1" s="3" t="inlineStr">
        <is>
          <t>F (Сумма, сом/га)</t>
        </is>
      </c>
      <c r="G1" s="3" t="inlineStr">
        <is>
          <t>G (Доля, %)</t>
        </is>
      </c>
      <c r="H1" s="3" t="inlineStr">
        <is>
          <t>H (Контроль первички)</t>
        </is>
      </c>
    </row>
    <row r="2" ht="36" customHeight="1">
      <c r="A2" s="4" t="inlineStr">
        <is>
          <t>Семена</t>
        </is>
      </c>
      <c r="B2" s="4" t="inlineStr">
        <is>
          <t>VC</t>
        </is>
      </c>
      <c r="C2" s="5" t="n">
        <v>30</v>
      </c>
      <c r="D2" s="4" t="inlineStr">
        <is>
          <t>кг</t>
        </is>
      </c>
      <c r="E2" s="5" t="n">
        <v>32</v>
      </c>
      <c r="F2" s="7">
        <f>C2*E2</f>
        <v>960.0</v>
      </c>
      <c r="G2" s="8">
        <f>F2/F11</f>
        <v>0.05106926268751995</v>
      </c>
      <c r="H2" s="4" t="inlineStr">
        <is>
          <t>[x] Акт списания</t>
        </is>
      </c>
    </row>
    <row r="3" ht="36" customHeight="1">
      <c r="A3" s="4" t="inlineStr">
        <is>
          <t>Удобрения</t>
        </is>
      </c>
      <c r="B3" s="4" t="inlineStr">
        <is>
          <t>VC</t>
        </is>
      </c>
      <c r="C3" s="5" t="n">
        <v>450</v>
      </c>
      <c r="D3" s="4" t="inlineStr">
        <is>
          <t>кг</t>
        </is>
      </c>
      <c r="E3" s="5" t="n">
        <v>6.76</v>
      </c>
      <c r="F3" s="7">
        <f>C3*E3</f>
        <v>3042.0</v>
      </c>
      <c r="G3" s="8">
        <f>F3/F11</f>
        <v>0.16182572614107885</v>
      </c>
      <c r="H3" s="4" t="inlineStr">
        <is>
          <t>[x] Накладная склада</t>
        </is>
      </c>
    </row>
    <row r="4" ht="36" customHeight="1">
      <c r="A4" s="4" t="inlineStr">
        <is>
          <t>СЗР</t>
        </is>
      </c>
      <c r="B4" s="4" t="inlineStr">
        <is>
          <t>VC</t>
        </is>
      </c>
      <c r="C4" s="5" t="n">
        <v>1</v>
      </c>
      <c r="D4" s="4" t="inlineStr">
        <is>
          <t>га</t>
        </is>
      </c>
      <c r="E4" s="5" t="n">
        <v>900</v>
      </c>
      <c r="F4" s="7">
        <f>C4*E4</f>
        <v>900.0</v>
      </c>
      <c r="G4" s="8">
        <f>F4/F11</f>
        <v>0.047877433769549956</v>
      </c>
      <c r="H4" s="4" t="inlineStr">
        <is>
          <t>[x] Акт обработки</t>
        </is>
      </c>
    </row>
    <row r="5" ht="36" customHeight="1">
      <c r="A5" s="4" t="inlineStr">
        <is>
          <t>ГСМ</t>
        </is>
      </c>
      <c r="B5" s="4" t="inlineStr">
        <is>
          <t>VC</t>
        </is>
      </c>
      <c r="C5" s="5" t="n">
        <v>120</v>
      </c>
      <c r="D5" s="4" t="inlineStr">
        <is>
          <t>л</t>
        </is>
      </c>
      <c r="E5" s="5" t="n">
        <v>11</v>
      </c>
      <c r="F5" s="7">
        <f>C5*E5</f>
        <v>1320.0</v>
      </c>
      <c r="G5" s="8">
        <f>F5/F11</f>
        <v>0.07022023619533993</v>
      </c>
      <c r="H5" s="4" t="inlineStr">
        <is>
          <t>[x] Путевые листы</t>
        </is>
      </c>
    </row>
    <row r="6" ht="36" customHeight="1">
      <c r="A6" s="4" t="inlineStr">
        <is>
          <t>Мех. работы</t>
        </is>
      </c>
      <c r="B6" s="4" t="inlineStr">
        <is>
          <t>VC</t>
        </is>
      </c>
      <c r="C6" s="5" t="n">
        <v>1</v>
      </c>
      <c r="D6" s="4" t="inlineStr">
        <is>
          <t>га</t>
        </is>
      </c>
      <c r="E6" s="5" t="n">
        <v>500</v>
      </c>
      <c r="F6" s="7">
        <f>C6*E6</f>
        <v>500.0</v>
      </c>
      <c r="G6" s="8">
        <f>F6/F11</f>
        <v>0.02659857431641664</v>
      </c>
      <c r="H6" s="4" t="inlineStr">
        <is>
          <t>[x] Наряды</t>
        </is>
      </c>
    </row>
    <row r="7" ht="36" customHeight="1">
      <c r="A7" s="4" t="inlineStr">
        <is>
          <t>ФОТ ручной</t>
        </is>
      </c>
      <c r="B7" s="4" t="inlineStr">
        <is>
          <t>VC</t>
        </is>
      </c>
      <c r="C7" s="5" t="n">
        <v>1</v>
      </c>
      <c r="D7" s="4" t="inlineStr">
        <is>
          <t>га</t>
        </is>
      </c>
      <c r="E7" s="5" t="n">
        <v>5076</v>
      </c>
      <c r="F7" s="7">
        <f>C7*E7</f>
        <v>5076.0</v>
      </c>
      <c r="G7" s="8">
        <f>F7/F11</f>
        <v>0.2700287264602617</v>
      </c>
      <c r="H7" s="4" t="inlineStr">
        <is>
          <t>[x] Ведомость ЗП</t>
        </is>
      </c>
    </row>
    <row r="8" ht="36" customHeight="1">
      <c r="A8" s="4" t="inlineStr">
        <is>
          <t>Сбор сырца</t>
        </is>
      </c>
      <c r="B8" s="4" t="inlineStr">
        <is>
          <t>VC</t>
        </is>
      </c>
      <c r="C8" s="5" t="n">
        <v>2500</v>
      </c>
      <c r="D8" s="4" t="inlineStr">
        <is>
          <t>кг</t>
        </is>
      </c>
      <c r="E8" s="5" t="n">
        <v>1.2</v>
      </c>
      <c r="F8" s="7">
        <f>C8*E8</f>
        <v>3000.0</v>
      </c>
      <c r="G8" s="8">
        <f>F8/F11</f>
        <v>0.15959144589849983</v>
      </c>
      <c r="H8" s="4" t="inlineStr">
        <is>
          <t>[x] Весовые чеки</t>
        </is>
      </c>
    </row>
    <row r="9" ht="36" customHeight="1">
      <c r="A9" s="4" t="inlineStr">
        <is>
          <t>Полив</t>
        </is>
      </c>
      <c r="B9" s="4" t="inlineStr">
        <is>
          <t>VC</t>
        </is>
      </c>
      <c r="C9" s="5" t="n">
        <v>5</v>
      </c>
      <c r="D9" s="4" t="inlineStr">
        <is>
          <t>полив</t>
        </is>
      </c>
      <c r="E9" s="5" t="n">
        <v>200</v>
      </c>
      <c r="F9" s="7">
        <f>C9*E9</f>
        <v>1000.0</v>
      </c>
      <c r="G9" s="8">
        <f>F9/F11</f>
        <v>0.05319714863283328</v>
      </c>
      <c r="H9" s="4" t="inlineStr">
        <is>
          <t>[x] Акт водоканала</t>
        </is>
      </c>
    </row>
    <row r="10" ht="36" customHeight="1">
      <c r="A10" s="4" t="inlineStr">
        <is>
          <t>Иджора</t>
        </is>
      </c>
      <c r="B10" s="4" t="inlineStr">
        <is>
          <t>FC</t>
        </is>
      </c>
      <c r="C10" s="5" t="n">
        <v>1</v>
      </c>
      <c r="D10" s="4" t="inlineStr">
        <is>
          <t>га</t>
        </is>
      </c>
      <c r="E10" s="5" t="n">
        <v>3000</v>
      </c>
      <c r="F10" s="7">
        <f>C10*E10</f>
        <v>3000.0</v>
      </c>
      <c r="G10" s="8">
        <f>F10/F11</f>
        <v>0.15959144589849983</v>
      </c>
      <c r="H10" s="4" t="inlineStr">
        <is>
          <t>[x] Договор аренды</t>
        </is>
      </c>
    </row>
    <row r="11" ht="36" customHeight="1">
      <c r="A11" s="4" t="inlineStr">
        <is>
          <t>ИТОГО TC</t>
        </is>
      </c>
      <c r="B11" s="4" t="inlineStr"/>
      <c r="C11" s="4" t="inlineStr"/>
      <c r="D11" s="4" t="inlineStr"/>
      <c r="E11" s="4" t="inlineStr"/>
      <c r="F11" s="7">
        <f>SUM(F2:F10)</f>
        <v>18798.0</v>
      </c>
      <c r="G11" s="9" t="n">
        <v>1</v>
      </c>
      <c r="H11" s="4" t="inlineStr">
        <is>
          <t>Контроль по заданным полям</t>
        </is>
      </c>
    </row>
    <row r="14">
      <c r="A14" t="inlineStr">
        <is>
          <t>Пояснение</t>
        </is>
      </c>
    </row>
    <row r="15">
      <c r="A15" s="6" t="inlineStr">
        <is>
          <t>Исправлены ссылки строк, подытоги и доли. Итого 18 798 сомони/га; удобрения 450 × 6,76 = 3 042. Обозначение VC здесь относится преимущественно к площади, а не к урожаю: при изменении урожайности фиксированная норма затрат на гектар не меняется автоматически.</t>
        </is>
      </c>
    </row>
    <row r="16"/>
    <row r="17"/>
  </sheetData>
  <autoFilter ref="A1:H11"/>
  <mergeCells count="1">
    <mergeCell ref="A15:H17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(Культура)</t>
        </is>
      </c>
      <c r="B1" s="3" t="inlineStr">
        <is>
          <t>B (FC, сом/га)</t>
        </is>
      </c>
      <c r="C1" s="3" t="inlineStr">
        <is>
          <t>C (VC, сом/га)</t>
        </is>
      </c>
      <c r="D1" s="3" t="inlineStr">
        <is>
          <t>D (P, сом/ц)</t>
        </is>
      </c>
      <c r="E1" s="3" t="inlineStr">
        <is>
          <t>E (Q_plan, ц/га)</t>
        </is>
      </c>
      <c r="F1" s="3" t="inlineStr">
        <is>
          <t>F (AVC, сом/ц)</t>
        </is>
      </c>
      <c r="G1" s="3" t="inlineStr">
        <is>
          <t>G (CM, сом/ц)</t>
        </is>
      </c>
      <c r="H1" s="3" t="inlineStr">
        <is>
          <t>H (BEP, ц/га)</t>
        </is>
      </c>
      <c r="I1" s="3" t="inlineStr">
        <is>
          <t>I (Запас прочности, %)</t>
        </is>
      </c>
    </row>
    <row r="2" ht="36" customHeight="1">
      <c r="A2" s="4" t="inlineStr">
        <is>
          <t>Хлопок (2026)</t>
        </is>
      </c>
      <c r="B2" s="5" t="n">
        <v>4000</v>
      </c>
      <c r="C2" s="5" t="n">
        <v>10800</v>
      </c>
      <c r="D2" s="5" t="n">
        <v>650</v>
      </c>
      <c r="E2" s="5" t="n">
        <v>30</v>
      </c>
      <c r="F2" s="7">
        <f>C2/E2</f>
        <v>360.0</v>
      </c>
      <c r="G2" s="7">
        <f>D2-F2</f>
        <v>290.0</v>
      </c>
      <c r="H2" s="7">
        <f>B2/G2</f>
        <v>13.793103448275861</v>
      </c>
      <c r="I2" s="8">
        <f>(E2-H2)/E2</f>
        <v>0.5402298850574713</v>
      </c>
    </row>
    <row r="3" ht="36" customHeight="1">
      <c r="A3" s="4" t="inlineStr">
        <is>
          <t>Пшеница (2026)</t>
        </is>
      </c>
      <c r="B3" s="5" t="n">
        <v>1500</v>
      </c>
      <c r="C3" s="5" t="n">
        <v>3200</v>
      </c>
      <c r="D3" s="5" t="n">
        <v>400</v>
      </c>
      <c r="E3" s="5" t="n">
        <v>25</v>
      </c>
      <c r="F3" s="7">
        <f>C3/E3</f>
        <v>128.0</v>
      </c>
      <c r="G3" s="7">
        <f>D3-F3</f>
        <v>272.0</v>
      </c>
      <c r="H3" s="7">
        <f>B3/G3</f>
        <v>5.514705882352941</v>
      </c>
      <c r="I3" s="8">
        <f>(E3-H3)/E3</f>
        <v>0.7794117647058824</v>
      </c>
    </row>
    <row r="4" ht="36" customHeight="1">
      <c r="A4" s="4" t="inlineStr">
        <is>
          <t>Ячмень (2026)</t>
        </is>
      </c>
      <c r="B4" s="5" t="n">
        <v>1200</v>
      </c>
      <c r="C4" s="5" t="n">
        <v>2800</v>
      </c>
      <c r="D4" s="5" t="n">
        <v>350</v>
      </c>
      <c r="E4" s="5" t="n">
        <v>22</v>
      </c>
      <c r="F4" s="7">
        <f>C4/E4</f>
        <v>127.27272727272727</v>
      </c>
      <c r="G4" s="7">
        <f>D4-F4</f>
        <v>222.72727272727275</v>
      </c>
      <c r="H4" s="7">
        <f>B4/G4</f>
        <v>5.387755102040816</v>
      </c>
      <c r="I4" s="8">
        <f>(E4-H4)/E4</f>
        <v>0.7551020408163265</v>
      </c>
    </row>
    <row r="7">
      <c r="A7" t="inlineStr">
        <is>
          <t>Пояснение</t>
        </is>
      </c>
    </row>
    <row r="8">
      <c r="A8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9"/>
    <row r="10"/>
  </sheetData>
  <autoFilter ref="A1:I4"/>
  <mergeCells count="1">
    <mergeCell ref="A8:I10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Показатель юнита (1 га)</t>
        </is>
      </c>
      <c r="B1" s="3" t="inlineStr">
        <is>
          <t>Хлопок (База 2025)</t>
        </is>
      </c>
      <c r="C1" s="3" t="inlineStr">
        <is>
          <t>Хлопок (Тариф 2026)</t>
        </is>
      </c>
      <c r="D1" s="3" t="inlineStr">
        <is>
          <t>Пшеница (2026)</t>
        </is>
      </c>
    </row>
    <row r="2" ht="36" customHeight="1">
      <c r="A2" s="4" t="inlineStr">
        <is>
          <t>Урожайность (Q)</t>
        </is>
      </c>
      <c r="B2" s="4" t="inlineStr">
        <is>
          <t>30 ц/га</t>
        </is>
      </c>
      <c r="C2" s="4" t="inlineStr">
        <is>
          <t>30 ц/га (план)</t>
        </is>
      </c>
      <c r="D2" s="4" t="inlineStr">
        <is>
          <t>25 ц/га (2 500 кг)</t>
        </is>
      </c>
    </row>
    <row r="3" ht="36" customHeight="1">
      <c r="A3" s="4" t="inlineStr">
        <is>
          <t>Закупочная цена (P)</t>
        </is>
      </c>
      <c r="B3" s="4" t="inlineStr">
        <is>
          <t>600 сом/ц</t>
        </is>
      </c>
      <c r="C3" s="4" t="inlineStr">
        <is>
          <t>650 сом/ц (6.5 сом/кг)</t>
        </is>
      </c>
      <c r="D3" s="4" t="inlineStr">
        <is>
          <t>400 сом/ц (4.0 сом/кг)</t>
        </is>
      </c>
    </row>
    <row r="4" ht="36" customHeight="1">
      <c r="A4" s="4" t="inlineStr">
        <is>
          <t>Выручка с 1 га</t>
        </is>
      </c>
      <c r="B4" s="5" t="n">
        <v>18000</v>
      </c>
      <c r="C4" s="5" t="n">
        <v>19500</v>
      </c>
      <c r="D4" s="5" t="n">
        <v>10000</v>
      </c>
    </row>
    <row r="5" ht="36" customHeight="1">
      <c r="A5" s="4" t="inlineStr">
        <is>
          <t>Переменные издержки (VC)</t>
        </is>
      </c>
      <c r="B5" s="4" t="inlineStr">
        <is>
          <t>11 050 сом/га</t>
        </is>
      </c>
      <c r="C5" s="4" t="inlineStr">
        <is>
          <t>14 800 сом/га (с премями)</t>
        </is>
      </c>
      <c r="D5" s="4" t="inlineStr">
        <is>
          <t>4 700 сом/га</t>
        </is>
      </c>
    </row>
    <row r="6" ht="36" customHeight="1">
      <c r="A6" s="4" t="inlineStr">
        <is>
          <t>Маржинальный доход (CM)</t>
        </is>
      </c>
      <c r="B6" s="4" t="inlineStr">
        <is>
          <t>6 950 сом/га3</t>
        </is>
      </c>
      <c r="C6" s="4" t="inlineStr">
        <is>
          <t>4 700 сом/га11</t>
        </is>
      </c>
      <c r="D6" s="4" t="inlineStr">
        <is>
          <t>5 300 сом/га12</t>
        </is>
      </c>
    </row>
    <row r="7" ht="36" customHeight="1">
      <c r="A7" s="4" t="inlineStr">
        <is>
          <t>Коэффициент маржи (Kcm)</t>
        </is>
      </c>
      <c r="B7" s="5" t="n">
        <v>0.386</v>
      </c>
      <c r="C7" s="5" t="n">
        <v>0.241</v>
      </c>
      <c r="D7" s="5" t="n">
        <v>0.53</v>
      </c>
    </row>
    <row r="8" ht="36" customHeight="1">
      <c r="A8" s="4" t="inlineStr">
        <is>
          <t>Постоянные затраты (FC)</t>
        </is>
      </c>
      <c r="B8" s="4" t="inlineStr">
        <is>
          <t>4 000 сом/га</t>
        </is>
      </c>
      <c r="C8" s="4" t="inlineStr">
        <is>
          <t>4 000 сом/га</t>
        </is>
      </c>
      <c r="D8" s="4" t="inlineStr">
        <is>
          <t>1 500 сом/га</t>
        </is>
      </c>
    </row>
    <row r="9" ht="36" customHeight="1">
      <c r="A9" s="4" t="inlineStr">
        <is>
          <t>Чистая прибыль с 1 га</t>
        </is>
      </c>
      <c r="B9" s="5" t="n">
        <v>2950</v>
      </c>
      <c r="C9" s="5" t="n">
        <v>700</v>
      </c>
      <c r="D9" s="5" t="n">
        <v>3800</v>
      </c>
    </row>
    <row r="12">
      <c r="A12" t="inlineStr">
        <is>
          <t>Пояснение</t>
        </is>
      </c>
    </row>
    <row r="13">
      <c r="A13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4"/>
    <row r="15"/>
  </sheetData>
  <autoFilter ref="A1:D9"/>
  <mergeCells count="1">
    <mergeCell ref="A13:D15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(Культура / Сценарий)</t>
        </is>
      </c>
      <c r="B1" s="3" t="inlineStr">
        <is>
          <t>B (Площадь, га)</t>
        </is>
      </c>
      <c r="C1" s="3" t="inlineStr">
        <is>
          <t>C (Урожай, ц/га)</t>
        </is>
      </c>
      <c r="D1" s="3" t="inlineStr">
        <is>
          <t>D (Цена, сом/ц)</t>
        </is>
      </c>
      <c r="E1" s="3" t="inlineStr">
        <is>
          <t>E (Выручка, сом/га)</t>
        </is>
      </c>
      <c r="F1" s="3" t="inlineStr">
        <is>
          <t>F (VC, сом/га)</t>
        </is>
      </c>
      <c r="G1" s="3" t="inlineStr">
        <is>
          <t>G (Маржа, сом/га)</t>
        </is>
      </c>
      <c r="H1" s="3" t="inlineStr">
        <is>
          <t>H (Kcm, %)</t>
        </is>
      </c>
      <c r="I1" s="3" t="inlineStr">
        <is>
          <t>I (FC, сом/га)</t>
        </is>
      </c>
      <c r="J1" s="3" t="inlineStr">
        <is>
          <t>J (Прибыль, сом/га)</t>
        </is>
      </c>
    </row>
    <row r="2" ht="36" customHeight="1">
      <c r="A2" s="4" t="inlineStr">
        <is>
          <t>Хлопок (План 2026)</t>
        </is>
      </c>
      <c r="B2" s="5" t="n">
        <v>1305</v>
      </c>
      <c r="C2" s="5" t="n">
        <v>30</v>
      </c>
      <c r="D2" s="5" t="n">
        <v>650</v>
      </c>
      <c r="E2" s="7">
        <f>C2*D2</f>
        <v>19500.0</v>
      </c>
      <c r="F2" s="5" t="n">
        <v>14800</v>
      </c>
      <c r="G2" s="7">
        <f>E2-F2</f>
        <v>4700.0</v>
      </c>
      <c r="H2" s="8">
        <f>G2/E2</f>
        <v>0.24102564102564103</v>
      </c>
      <c r="I2" s="5" t="n">
        <v>4000</v>
      </c>
      <c r="J2" s="7">
        <f>G2-I2</f>
        <v>700.0</v>
      </c>
    </row>
    <row r="3" ht="36" customHeight="1">
      <c r="A3" s="4" t="inlineStr">
        <is>
          <t>Хлопок (Факт 18.2 ц)</t>
        </is>
      </c>
      <c r="B3" s="5" t="n">
        <v>1305</v>
      </c>
      <c r="C3" s="5" t="n">
        <v>18.2</v>
      </c>
      <c r="D3" s="5" t="n">
        <v>650</v>
      </c>
      <c r="E3" s="7">
        <f>C3*D3</f>
        <v>11830.0</v>
      </c>
      <c r="F3" s="5" t="n">
        <v>14800</v>
      </c>
      <c r="G3" s="7">
        <f>E3-F3</f>
        <v>-2970.0</v>
      </c>
      <c r="H3" s="8">
        <f>G3/E3</f>
        <v>-0.2510566356720203</v>
      </c>
      <c r="I3" s="5" t="n">
        <v>4000</v>
      </c>
      <c r="J3" s="7">
        <f>G3-I3</f>
        <v>-6970.0</v>
      </c>
    </row>
    <row r="4" ht="36" customHeight="1">
      <c r="A4" s="4" t="inlineStr">
        <is>
          <t>Пшеница (2026)</t>
        </is>
      </c>
      <c r="B4" s="5" t="n">
        <v>189</v>
      </c>
      <c r="C4" s="5" t="n">
        <v>25</v>
      </c>
      <c r="D4" s="5" t="n">
        <v>400</v>
      </c>
      <c r="E4" s="7">
        <f>C4*D4</f>
        <v>10000.0</v>
      </c>
      <c r="F4" s="5" t="n">
        <v>4700</v>
      </c>
      <c r="G4" s="7">
        <f>E4-F4</f>
        <v>5300.0</v>
      </c>
      <c r="H4" s="8">
        <f>G4/E4</f>
        <v>0.53</v>
      </c>
      <c r="I4" s="5" t="n">
        <v>1500</v>
      </c>
      <c r="J4" s="7">
        <f>G4-I4</f>
        <v>3800.0</v>
      </c>
    </row>
    <row r="5" ht="36" customHeight="1">
      <c r="A5" s="4" t="inlineStr">
        <is>
          <t>Ячмень (2026)</t>
        </is>
      </c>
      <c r="B5" s="5" t="n">
        <v>104</v>
      </c>
      <c r="C5" s="5" t="n">
        <v>22</v>
      </c>
      <c r="D5" s="5" t="n">
        <v>350</v>
      </c>
      <c r="E5" s="7">
        <f>C5*D5</f>
        <v>7700.0</v>
      </c>
      <c r="F5" s="5" t="n">
        <v>4000</v>
      </c>
      <c r="G5" s="7">
        <f>E5-F5</f>
        <v>3700.0</v>
      </c>
      <c r="H5" s="8">
        <f>G5/E5</f>
        <v>0.4805194805194805</v>
      </c>
      <c r="I5" s="5" t="n">
        <v>1200</v>
      </c>
      <c r="J5" s="7">
        <f>G5-I5</f>
        <v>2500.0</v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J5"/>
  <mergeCells count="1">
    <mergeCell ref="A9:J11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Операция</t>
        </is>
      </c>
      <c r="B1" s="3" t="inlineStr">
        <is>
          <t>ГСМ, л/га</t>
        </is>
      </c>
      <c r="C1" s="3" t="inlineStr">
        <is>
          <t>Расценка ЗП, сом/га</t>
        </is>
      </c>
      <c r="D1" s="3" t="inlineStr">
        <is>
          <t>Норма выработки, га/смену</t>
        </is>
      </c>
      <c r="E1" s="3" t="inlineStr">
        <is>
          <t>Техника / Агрегат</t>
        </is>
      </c>
      <c r="F1" s="3" t="inlineStr">
        <is>
          <t>Стоимость ГСМ (11 сом/л)</t>
        </is>
      </c>
      <c r="G1" s="3" t="inlineStr">
        <is>
          <t>Топливо + зарплата, сом/га</t>
        </is>
      </c>
    </row>
    <row r="2" ht="36" customHeight="1">
      <c r="A2" s="4" t="inlineStr">
        <is>
          <t>Вспашка 35–40 см</t>
        </is>
      </c>
      <c r="B2" s="5" t="n">
        <v>32</v>
      </c>
      <c r="C2" s="5" t="n">
        <v>41</v>
      </c>
      <c r="D2" s="5" t="n">
        <v>5</v>
      </c>
      <c r="E2" s="4" t="inlineStr">
        <is>
          <t>Беларус 1523 + плуг</t>
        </is>
      </c>
      <c r="F2" s="5" t="n">
        <v>352</v>
      </c>
      <c r="G2" s="4" t="inlineStr">
        <is>
          <t>393.0 сом/га910</t>
        </is>
      </c>
    </row>
    <row r="3" ht="36" customHeight="1">
      <c r="A3" s="4" t="inlineStr">
        <is>
          <t>Боронование в 2 следа</t>
        </is>
      </c>
      <c r="B3" s="5" t="n">
        <v>5</v>
      </c>
      <c r="C3" s="5" t="n">
        <v>6</v>
      </c>
      <c r="D3" s="5" t="n">
        <v>9.800000000000001</v>
      </c>
      <c r="E3" s="4" t="inlineStr">
        <is>
          <t>Беларус 892.2</t>
        </is>
      </c>
      <c r="F3" s="5" t="n">
        <v>55</v>
      </c>
      <c r="G3" s="4" t="inlineStr">
        <is>
          <t>61.0 сом/га910</t>
        </is>
      </c>
    </row>
    <row r="4" ht="36" customHeight="1">
      <c r="A4" s="4" t="inlineStr">
        <is>
          <t>Чизелование</t>
        </is>
      </c>
      <c r="B4" s="5" t="n">
        <v>10</v>
      </c>
      <c r="C4" s="5" t="n">
        <v>12.5</v>
      </c>
      <c r="D4" s="5" t="n">
        <v>4</v>
      </c>
      <c r="E4" s="4" t="inlineStr">
        <is>
          <t>МТЗ-892.2 + ЧКН</t>
        </is>
      </c>
      <c r="F4" s="5" t="n">
        <v>110</v>
      </c>
      <c r="G4" s="4" t="inlineStr">
        <is>
          <t>122.5 сом/га9</t>
        </is>
      </c>
    </row>
    <row r="5" ht="36" customHeight="1">
      <c r="A5" s="4" t="inlineStr">
        <is>
          <t>Посев хлопчатника</t>
        </is>
      </c>
      <c r="B5" s="5" t="n">
        <v>6.5</v>
      </c>
      <c r="C5" s="5" t="n">
        <v>14</v>
      </c>
      <c r="D5" s="5" t="n">
        <v>6.5</v>
      </c>
      <c r="E5" s="4" t="inlineStr">
        <is>
          <t>МТЗ-80 + СТХ-4</t>
        </is>
      </c>
      <c r="F5" s="5" t="n">
        <v>71.5</v>
      </c>
      <c r="G5" s="4" t="inlineStr">
        <is>
          <t>85.5 сом/га910</t>
        </is>
      </c>
    </row>
    <row r="6" ht="36" customHeight="1">
      <c r="A6" s="4" t="inlineStr">
        <is>
          <t>Культивация (1 проход)</t>
        </is>
      </c>
      <c r="B6" s="5" t="n">
        <v>6</v>
      </c>
      <c r="C6" s="5" t="n">
        <v>12</v>
      </c>
      <c r="D6" s="5" t="n">
        <v>7</v>
      </c>
      <c r="E6" s="4" t="inlineStr">
        <is>
          <t>МТЗ-80 + КРХ-4</t>
        </is>
      </c>
      <c r="F6" s="5" t="n">
        <v>66</v>
      </c>
      <c r="G6" s="4" t="inlineStr">
        <is>
          <t>78.0 сом/га911</t>
        </is>
      </c>
    </row>
    <row r="7" ht="36" customHeight="1">
      <c r="A7" s="4" t="inlineStr">
        <is>
          <t>Обработка ОВХ</t>
        </is>
      </c>
      <c r="B7" s="5" t="n">
        <v>3</v>
      </c>
      <c r="C7" s="5" t="n">
        <v>10</v>
      </c>
      <c r="D7" s="5" t="n">
        <v>12.5</v>
      </c>
      <c r="E7" s="4" t="inlineStr">
        <is>
          <t>МТЗ-80 + ОВХ-600</t>
        </is>
      </c>
      <c r="F7" s="5" t="n">
        <v>33</v>
      </c>
      <c r="G7" s="4" t="inlineStr">
        <is>
          <t>43.0 сом/га9</t>
        </is>
      </c>
    </row>
    <row r="10">
      <c r="A10" t="inlineStr">
        <is>
          <t>Пояснение</t>
        </is>
      </c>
    </row>
    <row r="11">
      <c r="A11" s="6" t="inlineStr">
        <is>
          <t>Учебные технологические нормативы не заменяют локальную технологическую карту. Сумма топлива и зарплаты не является полной стоимостью: дополнительно учитываются ремонт, амортизация и другие релевантные расходы.</t>
        </is>
      </c>
    </row>
    <row r="12"/>
    <row r="13"/>
  </sheetData>
  <autoFilter ref="A1:G7"/>
  <mergeCells count="1">
    <mergeCell ref="A11:G13"/>
  </mergeCells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(Операция)</t>
        </is>
      </c>
      <c r="B1" s="3" t="inlineStr">
        <is>
          <t>B (ГСМ, л/га)</t>
        </is>
      </c>
      <c r="C1" s="3" t="inlineStr">
        <is>
          <t>C (ЗП, сом/га)</t>
        </is>
      </c>
      <c r="D1" s="3" t="inlineStr">
        <is>
          <t>D (Цена ГСМ, сом/л)</t>
        </is>
      </c>
      <c r="E1" s="3" t="inlineStr">
        <is>
          <t>E (Стоимость ГСМ, сом/га)</t>
        </is>
      </c>
      <c r="F1" s="3" t="inlineStr">
        <is>
          <t>F (Стоимость 1 га, сом)</t>
        </is>
      </c>
      <c r="G1" s="3" t="inlineStr">
        <is>
          <t>G (Площадь, га)</t>
        </is>
      </c>
      <c r="H1" s="3" t="inlineStr">
        <is>
          <t>H (Бюджет операции, сом)</t>
        </is>
      </c>
      <c r="I1" s="3" t="inlineStr">
        <is>
          <t>I (Потребность в ГСМ, л)</t>
        </is>
      </c>
      <c r="J1" s="3" t="inlineStr">
        <is>
          <t>J (Факт ГСМ, л)</t>
        </is>
      </c>
      <c r="K1" s="3" t="inlineStr">
        <is>
          <t>K (Отклонение ГСМ, л)</t>
        </is>
      </c>
    </row>
    <row r="2" ht="36" customHeight="1">
      <c r="A2" s="4" t="inlineStr">
        <is>
          <t>Вспашка 35–40 см</t>
        </is>
      </c>
      <c r="B2" s="5" t="n">
        <v>32</v>
      </c>
      <c r="C2" s="5" t="n">
        <v>41</v>
      </c>
      <c r="D2" s="5" t="n">
        <v>11</v>
      </c>
      <c r="E2" s="7">
        <f>B2*D2</f>
        <v>352.0</v>
      </c>
      <c r="F2" s="7">
        <f>E2+C2</f>
        <v>393.0</v>
      </c>
      <c r="G2" s="5" t="n">
        <v>1350</v>
      </c>
      <c r="H2" s="7">
        <f>F2*G2</f>
        <v>530550.0</v>
      </c>
      <c r="I2" s="7">
        <f>B2*G2</f>
        <v>43200.0</v>
      </c>
      <c r="J2" s="5" t="n">
        <v>43200</v>
      </c>
      <c r="K2" s="7">
        <f>J2-I2</f>
        <v>0.0</v>
      </c>
    </row>
    <row r="3" ht="36" customHeight="1">
      <c r="A3" s="4" t="inlineStr">
        <is>
          <t>Боронование 2 след</t>
        </is>
      </c>
      <c r="B3" s="5" t="n">
        <v>5</v>
      </c>
      <c r="C3" s="5" t="n">
        <v>6</v>
      </c>
      <c r="D3" s="5" t="n">
        <v>11</v>
      </c>
      <c r="E3" s="7">
        <f>B3*D3</f>
        <v>55.0</v>
      </c>
      <c r="F3" s="7">
        <f>E3+C3</f>
        <v>61.0</v>
      </c>
      <c r="G3" s="5" t="n">
        <v>1350</v>
      </c>
      <c r="H3" s="7">
        <f>F3*G3</f>
        <v>82350.0</v>
      </c>
      <c r="I3" s="7">
        <f>B3*G3</f>
        <v>6750.0</v>
      </c>
      <c r="J3" s="5" t="n">
        <v>6750</v>
      </c>
      <c r="K3" s="7">
        <f>J3-I3</f>
        <v>0.0</v>
      </c>
    </row>
    <row r="4" ht="36" customHeight="1">
      <c r="A4" s="4" t="inlineStr">
        <is>
          <t>Чизелование</t>
        </is>
      </c>
      <c r="B4" s="5" t="n">
        <v>10</v>
      </c>
      <c r="C4" s="5" t="n">
        <v>12.5</v>
      </c>
      <c r="D4" s="5" t="n">
        <v>11</v>
      </c>
      <c r="E4" s="7">
        <f>B4*D4</f>
        <v>110.0</v>
      </c>
      <c r="F4" s="7">
        <f>E4+C4</f>
        <v>122.5</v>
      </c>
      <c r="G4" s="5" t="n">
        <v>1350</v>
      </c>
      <c r="H4" s="7">
        <f>F4*G4</f>
        <v>165375.0</v>
      </c>
      <c r="I4" s="7">
        <f>B4*G4</f>
        <v>13500.0</v>
      </c>
      <c r="J4" s="5" t="n">
        <v>13500</v>
      </c>
      <c r="K4" s="7">
        <f>J4-I4</f>
        <v>0.0</v>
      </c>
    </row>
    <row r="5" ht="36" customHeight="1">
      <c r="A5" s="4" t="inlineStr">
        <is>
          <t>Посев</t>
        </is>
      </c>
      <c r="B5" s="5" t="n">
        <v>6.5</v>
      </c>
      <c r="C5" s="5" t="n">
        <v>14</v>
      </c>
      <c r="D5" s="5" t="n">
        <v>11</v>
      </c>
      <c r="E5" s="7">
        <f>B5*D5</f>
        <v>71.5</v>
      </c>
      <c r="F5" s="7">
        <f>E5+C5</f>
        <v>85.5</v>
      </c>
      <c r="G5" s="5" t="n">
        <v>1350</v>
      </c>
      <c r="H5" s="7">
        <f>F5*G5</f>
        <v>115425.0</v>
      </c>
      <c r="I5" s="7">
        <f>B5*G5</f>
        <v>8775.0</v>
      </c>
      <c r="J5" s="5" t="n">
        <v>8775</v>
      </c>
      <c r="K5" s="7">
        <f>J5-I5</f>
        <v>0.0</v>
      </c>
    </row>
    <row r="6" ht="36" customHeight="1">
      <c r="A6" s="4" t="inlineStr">
        <is>
          <t>Культивация x</t>
        </is>
      </c>
      <c r="B6" s="5" t="n">
        <v>30</v>
      </c>
      <c r="C6" s="5" t="n">
        <v>60</v>
      </c>
      <c r="D6" s="5" t="n">
        <v>11</v>
      </c>
      <c r="E6" s="7">
        <f>B6*D6</f>
        <v>330.0</v>
      </c>
      <c r="F6" s="7">
        <f>E6+C6</f>
        <v>390.0</v>
      </c>
      <c r="G6" s="5" t="n">
        <v>1350</v>
      </c>
      <c r="H6" s="7">
        <f>F6*G6</f>
        <v>526500.0</v>
      </c>
      <c r="I6" s="7">
        <f>B6*G6</f>
        <v>40500.0</v>
      </c>
      <c r="J6" s="5" t="n">
        <v>40500</v>
      </c>
      <c r="K6" s="7">
        <f>J6-I6</f>
        <v>0.0</v>
      </c>
    </row>
    <row r="7" ht="36" customHeight="1">
      <c r="A7" s="4" t="inlineStr">
        <is>
          <t>ОВХ (обработка)</t>
        </is>
      </c>
      <c r="B7" s="5" t="n">
        <v>3</v>
      </c>
      <c r="C7" s="5" t="n">
        <v>10</v>
      </c>
      <c r="D7" s="5" t="n">
        <v>11</v>
      </c>
      <c r="E7" s="7">
        <f>B7*D7</f>
        <v>33.0</v>
      </c>
      <c r="F7" s="7">
        <f>E7+C7</f>
        <v>43.0</v>
      </c>
      <c r="G7" s="5" t="n">
        <v>1350</v>
      </c>
      <c r="H7" s="7">
        <f>F7*G7</f>
        <v>58050.0</v>
      </c>
      <c r="I7" s="7">
        <f>B7*G7</f>
        <v>4050.0</v>
      </c>
      <c r="J7" s="5" t="n">
        <v>4050</v>
      </c>
      <c r="K7" s="7">
        <f>J7-I7</f>
        <v>0.0</v>
      </c>
    </row>
    <row r="8" ht="36" customHeight="1">
      <c r="A8" s="4" t="inlineStr">
        <is>
          <t>ИТОГО</t>
        </is>
      </c>
      <c r="B8" s="4" t="inlineStr"/>
      <c r="C8" s="4" t="inlineStr"/>
      <c r="D8" s="4" t="inlineStr"/>
      <c r="E8" s="4" t="inlineStr"/>
      <c r="F8" s="4" t="inlineStr"/>
      <c r="G8" s="4" t="inlineStr"/>
      <c r="H8" s="7">
        <f>SUM(H2:H7)</f>
        <v>1478250.0</v>
      </c>
      <c r="I8" s="7">
        <f>SUM(I2:I7)</f>
        <v>116775.0</v>
      </c>
      <c r="J8" s="7">
        <f>SUM(J2:J7)</f>
        <v>116775.0</v>
      </c>
      <c r="K8" s="7">
        <f>SUM(K2:K7)</f>
        <v>0.0</v>
      </c>
    </row>
    <row r="11">
      <c r="A11" t="inlineStr">
        <is>
          <t>Пояснение</t>
        </is>
      </c>
    </row>
    <row r="12">
      <c r="A12" s="6" t="inlineStr">
        <is>
          <t>Учебные технологические нормативы не заменяют локальную технологическую карту. Сумма топлива и зарплаты не является полной стоимостью: дополнительно учитываются ремонт, амортизация и другие релевантные расходы.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(Культура)</t>
        </is>
      </c>
      <c r="B1" s="3" t="inlineStr">
        <is>
          <t>B (Площадь, га)</t>
        </is>
      </c>
      <c r="C1" s="3" t="inlineStr">
        <is>
          <t>C (Доля, %)</t>
        </is>
      </c>
      <c r="D1" s="3" t="inlineStr">
        <is>
          <t>D (Выход: ц/га; люцерна — тюков/га)</t>
        </is>
      </c>
      <c r="E1" s="3" t="inlineStr">
        <is>
          <t>E (Цена за ц; люцерна — за тюк)</t>
        </is>
      </c>
      <c r="F1" s="3" t="inlineStr">
        <is>
          <t>F (Выручка/га, сом)</t>
        </is>
      </c>
      <c r="G1" s="3" t="inlineStr">
        <is>
          <t>G (VC/га, сом)</t>
        </is>
      </c>
      <c r="H1" s="3" t="inlineStr">
        <is>
          <t>H (Маржа/га, сом)</t>
        </is>
      </c>
      <c r="I1" s="3" t="inlineStr">
        <is>
          <t>I (Валовая маржа, сом)</t>
        </is>
      </c>
    </row>
    <row r="2" ht="36" customHeight="1">
      <c r="A2" s="4" t="inlineStr">
        <is>
          <t>Хлопчатник</t>
        </is>
      </c>
      <c r="B2" s="5" t="n">
        <v>1305</v>
      </c>
      <c r="C2" s="8">
        <f>B2/SUM(B2:B5)</f>
        <v>0.7262103505843072</v>
      </c>
      <c r="D2" s="5" t="n">
        <v>30</v>
      </c>
      <c r="E2" s="5" t="n">
        <v>650</v>
      </c>
      <c r="F2" s="7">
        <f>D2*E2</f>
        <v>19500.0</v>
      </c>
      <c r="G2" s="5" t="n">
        <v>14800</v>
      </c>
      <c r="H2" s="7">
        <f>F2-G2</f>
        <v>4700.0</v>
      </c>
      <c r="I2" s="7">
        <f>H2*B2</f>
        <v>6133500.0</v>
      </c>
    </row>
    <row r="3" ht="36" customHeight="1">
      <c r="A3" s="4" t="inlineStr">
        <is>
          <t>Пшеница</t>
        </is>
      </c>
      <c r="B3" s="5" t="n">
        <v>189</v>
      </c>
      <c r="C3" s="8">
        <f>B3/SUM(B2:B5)</f>
        <v>0.10517529215358931</v>
      </c>
      <c r="D3" s="5" t="n">
        <v>25</v>
      </c>
      <c r="E3" s="5" t="n">
        <v>400</v>
      </c>
      <c r="F3" s="7">
        <f>D3*E3</f>
        <v>10000.0</v>
      </c>
      <c r="G3" s="5" t="n">
        <v>4700</v>
      </c>
      <c r="H3" s="7">
        <f>F3-G3</f>
        <v>5300.0</v>
      </c>
      <c r="I3" s="7">
        <f>H3*B3</f>
        <v>1001700.0</v>
      </c>
    </row>
    <row r="4" ht="36" customHeight="1">
      <c r="A4" s="4" t="inlineStr">
        <is>
          <t>Ячмень</t>
        </is>
      </c>
      <c r="B4" s="5" t="n">
        <v>104</v>
      </c>
      <c r="C4" s="8">
        <f>B4/SUM(B2:B5)</f>
        <v>0.05787423483583751</v>
      </c>
      <c r="D4" s="5" t="n">
        <v>22</v>
      </c>
      <c r="E4" s="5" t="n">
        <v>350</v>
      </c>
      <c r="F4" s="7">
        <f>D4*E4</f>
        <v>7700.0</v>
      </c>
      <c r="G4" s="5" t="n">
        <v>4000</v>
      </c>
      <c r="H4" s="7">
        <f>F4-G4</f>
        <v>3700.0</v>
      </c>
      <c r="I4" s="7">
        <f>H4*B4</f>
        <v>384800.0</v>
      </c>
    </row>
    <row r="5" ht="36" customHeight="1">
      <c r="A5" s="4" t="inlineStr">
        <is>
          <t>Люцерна</t>
        </is>
      </c>
      <c r="B5" s="5" t="n">
        <v>199</v>
      </c>
      <c r="C5" s="8">
        <f>B5/SUM(B2:B5)</f>
        <v>0.110740122426266</v>
      </c>
      <c r="D5" s="5" t="n">
        <v>150</v>
      </c>
      <c r="E5" s="5" t="n">
        <v>22</v>
      </c>
      <c r="F5" s="7">
        <f>D5*E5</f>
        <v>3300.0</v>
      </c>
      <c r="G5" s="5" t="n">
        <v>1800</v>
      </c>
      <c r="H5" s="7">
        <f>F5-G5</f>
        <v>1500.0</v>
      </c>
      <c r="I5" s="7">
        <f>H5*B5</f>
        <v>298500.0</v>
      </c>
    </row>
    <row r="6" ht="36" customHeight="1">
      <c r="A6" s="4" t="inlineStr">
        <is>
          <t>ИТОГО</t>
        </is>
      </c>
      <c r="B6" s="7">
        <f>SUM(B2:B5)</f>
        <v>1797.0</v>
      </c>
      <c r="C6" s="9" t="n">
        <v>1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7">
        <f>SUM(I2:I5)</f>
        <v>7818500.0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(Агроучасток / Сценарий)</t>
        </is>
      </c>
      <c r="B1" s="3" t="inlineStr">
        <is>
          <t>B (Физ. вес, т)</t>
        </is>
      </c>
      <c r="C1" s="3" t="inlineStr">
        <is>
          <t>C (Влажность, %)</t>
        </is>
      </c>
      <c r="D1" s="3" t="inlineStr">
        <is>
          <t>D (Засор, %)</t>
        </is>
      </c>
      <c r="E1" s="3" t="inlineStr">
        <is>
          <t>E (Скидка веса, %)</t>
        </is>
      </c>
      <c r="F1" s="3" t="inlineStr">
        <is>
          <t>F (Зачётный вес, т)</t>
        </is>
      </c>
      <c r="G1" s="3" t="inlineStr">
        <is>
          <t>G (Цена, сом/т)</t>
        </is>
      </c>
      <c r="H1" s="3" t="inlineStr">
        <is>
          <t>H (Выручка зачётная, сом)</t>
        </is>
      </c>
      <c r="I1" s="3" t="inlineStr">
        <is>
          <t>I (Потеря выручки от брака, сом)</t>
        </is>
      </c>
    </row>
    <row r="2" ht="36" customHeight="1">
      <c r="A2" s="4" t="inlineStr">
        <is>
          <t>АУ-1 (Норма)</t>
        </is>
      </c>
      <c r="B2" s="5" t="n">
        <v>1000</v>
      </c>
      <c r="C2" s="5" t="n">
        <v>8</v>
      </c>
      <c r="D2" s="5" t="n">
        <v>3</v>
      </c>
      <c r="E2" s="7">
        <f>MAX(0,C2-8)+MAX(0,D2-3)</f>
        <v>0</v>
      </c>
      <c r="F2" s="7">
        <f>B2*(1-E2/100)</f>
        <v>1000.0</v>
      </c>
      <c r="G2" s="5" t="n">
        <v>6500</v>
      </c>
      <c r="H2" s="7">
        <f>F2*G2</f>
        <v>6500000.0</v>
      </c>
      <c r="I2" s="7">
        <f>(B2-F2)*G2</f>
        <v>0.0</v>
      </c>
    </row>
    <row r="3" ht="36" customHeight="1">
      <c r="A3" s="4" t="inlineStr">
        <is>
          <t>АУ-2 (Влажный)</t>
        </is>
      </c>
      <c r="B3" s="5" t="n">
        <v>1000</v>
      </c>
      <c r="C3" s="5" t="n">
        <v>11</v>
      </c>
      <c r="D3" s="5" t="n">
        <v>3</v>
      </c>
      <c r="E3" s="7">
        <f>MAX(0,C3-8)+MAX(0,D3-3)</f>
        <v>3.0</v>
      </c>
      <c r="F3" s="7">
        <f>B3*(1-E3/100)</f>
        <v>970.0</v>
      </c>
      <c r="G3" s="5" t="n">
        <v>6500</v>
      </c>
      <c r="H3" s="7">
        <f>F3*G3</f>
        <v>6305000.0</v>
      </c>
      <c r="I3" s="7">
        <f>(B3-F3)*G3</f>
        <v>195000.0</v>
      </c>
    </row>
    <row r="4" ht="36" customHeight="1">
      <c r="A4" s="4" t="inlineStr">
        <is>
          <t>АУ-3 (Грязный)</t>
        </is>
      </c>
      <c r="B4" s="5" t="n">
        <v>1000</v>
      </c>
      <c r="C4" s="5" t="n">
        <v>8</v>
      </c>
      <c r="D4" s="5" t="n">
        <v>6</v>
      </c>
      <c r="E4" s="7">
        <f>MAX(0,C4-8)+MAX(0,D4-3)</f>
        <v>3.0</v>
      </c>
      <c r="F4" s="7">
        <f>B4*(1-E4/100)</f>
        <v>970.0</v>
      </c>
      <c r="G4" s="5" t="n">
        <v>6500</v>
      </c>
      <c r="H4" s="7">
        <f>F4*G4</f>
        <v>6305000.0</v>
      </c>
      <c r="I4" s="7">
        <f>(B4-F4)*G4</f>
        <v>195000.0</v>
      </c>
    </row>
    <row r="5" ht="36" customHeight="1">
      <c r="A5" s="4" t="inlineStr">
        <is>
          <t>АУ-4 (Брак)</t>
        </is>
      </c>
      <c r="B5" s="5" t="n">
        <v>1000</v>
      </c>
      <c r="C5" s="5" t="n">
        <v>12</v>
      </c>
      <c r="D5" s="5" t="n">
        <v>5</v>
      </c>
      <c r="E5" s="7">
        <f>MAX(0,C5-8)+MAX(0,D5-3)</f>
        <v>6.0</v>
      </c>
      <c r="F5" s="7">
        <f>B5*(1-E5/100)</f>
        <v>940.0</v>
      </c>
      <c r="G5" s="5" t="n">
        <v>6500</v>
      </c>
      <c r="H5" s="7">
        <f>F5*G5</f>
        <v>6110000.0</v>
      </c>
      <c r="I5" s="7">
        <f>(B5-F5)*G5</f>
        <v>390000.0</v>
      </c>
    </row>
    <row r="8">
      <c r="A8" t="inlineStr">
        <is>
          <t>Пояснение</t>
        </is>
      </c>
    </row>
    <row r="9">
      <c r="A9" s="6" t="inlineStr">
        <is>
          <t>Таблица задаёт условный договорный линейный вычет: превышение влажности над 8% плюс превышение засора над 3%, в процентных пунктах. Это учебное условие договора, а не универсальная формула сохранения сухого вещества. Физическую модель качества см. в математическом дополнении.</t>
        </is>
      </c>
    </row>
    <row r="10"/>
    <row r="11"/>
  </sheetData>
  <autoFilter ref="A1:I5"/>
  <mergeCells count="1">
    <mergeCell ref="A9:I11"/>
  </mergeCells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(Показатель)</t>
        </is>
      </c>
      <c r="B1" s="3" t="inlineStr">
        <is>
          <t>B (Форма учета)</t>
        </is>
      </c>
      <c r="C1" s="3" t="inlineStr">
        <is>
          <t>C (Метод)</t>
        </is>
      </c>
      <c r="D1" s="3" t="inlineStr">
        <is>
          <t>D (Сумма, тыс. сом)</t>
        </is>
      </c>
      <c r="E1" s="3" t="inlineStr">
        <is>
          <t>E (Связанная строка)</t>
        </is>
      </c>
      <c r="F1" s="3" t="inlineStr">
        <is>
          <t>F (Формула увязки)</t>
        </is>
      </c>
      <c r="G1" s="3" t="inlineStr">
        <is>
          <t>G (Статус увязки)</t>
        </is>
      </c>
    </row>
    <row r="2" ht="36" customHeight="1">
      <c r="A2" s="4" t="inlineStr">
        <is>
          <t>Выручка от реализации</t>
        </is>
      </c>
      <c r="B2" s="4" t="inlineStr">
        <is>
          <t>ОПУ</t>
        </is>
      </c>
      <c r="C2" s="4" t="inlineStr">
        <is>
          <t>Начисление</t>
        </is>
      </c>
      <c r="D2" s="5" t="n">
        <v>24000</v>
      </c>
      <c r="E2" s="4" t="inlineStr">
        <is>
          <t>ДДС + Баланс</t>
        </is>
      </c>
      <c r="F2" s="7">
        <f>D2</f>
        <v>24000.0</v>
      </c>
      <c r="G2" s="4" t="inlineStr">
        <is>
          <t>[x] Отгружено</t>
        </is>
      </c>
    </row>
    <row r="3" ht="36" customHeight="1">
      <c r="A3" s="4" t="inlineStr">
        <is>
          <t>Себестоимость продаж</t>
        </is>
      </c>
      <c r="B3" s="4" t="inlineStr">
        <is>
          <t>ОПУ</t>
        </is>
      </c>
      <c r="C3" s="4" t="inlineStr">
        <is>
          <t>Начисление</t>
        </is>
      </c>
      <c r="D3" s="5" t="n">
        <v>18000</v>
      </c>
      <c r="E3" s="4" t="inlineStr">
        <is>
          <t>Баланс (Запасы)</t>
        </is>
      </c>
      <c r="F3" s="7">
        <f>D3</f>
        <v>18000.0</v>
      </c>
      <c r="G3" s="4" t="inlineStr">
        <is>
          <t>[x] Начислено</t>
        </is>
      </c>
    </row>
    <row r="4" ht="36" customHeight="1">
      <c r="A4" s="4" t="inlineStr">
        <is>
          <t>Валовая прибыль</t>
        </is>
      </c>
      <c r="B4" s="4" t="inlineStr">
        <is>
          <t>ОПУ</t>
        </is>
      </c>
      <c r="C4" s="4" t="inlineStr">
        <is>
          <t>Начисление</t>
        </is>
      </c>
      <c r="D4" s="7">
        <f>D2-D3</f>
        <v>6000.0</v>
      </c>
      <c r="E4" s="4" t="inlineStr">
        <is>
          <t>Промежуточный результат ОПУ</t>
        </is>
      </c>
      <c r="F4" s="7">
        <f>D4</f>
        <v>6000.0</v>
      </c>
      <c r="G4" s="4" t="inlineStr">
        <is>
          <t>До иных расходов и налога на прибыль</t>
        </is>
      </c>
    </row>
    <row r="5" ht="36" customHeight="1">
      <c r="A5" s="4" t="inlineStr">
        <is>
          <t>Операционные поступления</t>
        </is>
      </c>
      <c r="B5" s="4" t="inlineStr">
        <is>
          <t>ДДС</t>
        </is>
      </c>
      <c r="C5" s="4" t="inlineStr">
        <is>
          <t>Оплата</t>
        </is>
      </c>
      <c r="D5" s="5" t="n">
        <v>14000</v>
      </c>
      <c r="E5" s="4" t="inlineStr">
        <is>
          <t>Баланс (Деньги)</t>
        </is>
      </c>
      <c r="F5" s="7">
        <f>D5</f>
        <v>14000.0</v>
      </c>
      <c r="G5" s="4" t="inlineStr">
        <is>
          <t>[x] Получено</t>
        </is>
      </c>
    </row>
    <row r="6" ht="36" customHeight="1">
      <c r="A6" s="4" t="inlineStr">
        <is>
          <t>Операционные выплаты</t>
        </is>
      </c>
      <c r="B6" s="4" t="inlineStr">
        <is>
          <t>ДДС</t>
        </is>
      </c>
      <c r="C6" s="4" t="inlineStr">
        <is>
          <t>Оплата</t>
        </is>
      </c>
      <c r="D6" s="5" t="n">
        <v>16000</v>
      </c>
      <c r="E6" s="4" t="inlineStr">
        <is>
          <t>Баланс (Деньги)</t>
        </is>
      </c>
      <c r="F6" s="7">
        <f>D6</f>
        <v>16000.0</v>
      </c>
      <c r="G6" s="4" t="inlineStr">
        <is>
          <t>[x] Выплачено</t>
        </is>
      </c>
    </row>
    <row r="7" ht="36" customHeight="1">
      <c r="A7" s="4" t="inlineStr">
        <is>
          <t>Чистый денежный поток</t>
        </is>
      </c>
      <c r="B7" s="4" t="inlineStr">
        <is>
          <t>ДДС</t>
        </is>
      </c>
      <c r="C7" s="4" t="inlineStr">
        <is>
          <t>Оплата</t>
        </is>
      </c>
      <c r="D7" s="7">
        <f>D5-D6</f>
        <v>-2000.0</v>
      </c>
      <c r="E7" s="4" t="inlineStr">
        <is>
          <t>Баланс (Кэш)</t>
        </is>
      </c>
      <c r="F7" s="7">
        <f>D7</f>
        <v>-2000.0</v>
      </c>
      <c r="G7" s="4" t="inlineStr">
        <is>
          <t>ИЗМЕНЕНИЕ ДЕНЕГ</t>
        </is>
      </c>
    </row>
    <row r="8" ht="36" customHeight="1">
      <c r="A8" s="4" t="inlineStr">
        <is>
          <t>Дебиторская задолженность</t>
        </is>
      </c>
      <c r="B8" s="4" t="inlineStr">
        <is>
          <t>Баланс</t>
        </is>
      </c>
      <c r="C8" s="4" t="inlineStr">
        <is>
          <t>На дату</t>
        </is>
      </c>
      <c r="D8" s="7">
        <f>D2-D5</f>
        <v>10000.0</v>
      </c>
      <c r="E8" s="4" t="inlineStr">
        <is>
          <t>Активы</t>
        </is>
      </c>
      <c r="F8" s="7">
        <f>D8</f>
        <v>10000.0</v>
      </c>
      <c r="G8" s="4" t="inlineStr">
        <is>
          <t>ОСТАТОК НЕПЛАТЕЖЕЙ</t>
        </is>
      </c>
    </row>
    <row r="11">
      <c r="A11" t="inlineStr">
        <is>
          <t>Пояснение</t>
        </is>
      </c>
    </row>
    <row r="12">
      <c r="A12" s="6" t="inlineStr">
        <is>
          <t>Выручка 24 000 минус себестоимость продаж 18 000 = валовая прибыль 6 000 тыс. сомони. Для чистой прибыли нужны другие расходы и налоги. Дебиторка 10 000 предполагает нулевой начальный долг, отсутствие авансов и поступления только по показанным продажам. Поток −2000 — изменение, не остаток денег.</t>
        </is>
      </c>
    </row>
    <row r="13"/>
    <row r="14"/>
  </sheetData>
  <autoFilter ref="A1:G8"/>
  <mergeCells count="1">
    <mergeCell ref="A12:G14"/>
  </mergeCells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(Статья)</t>
        </is>
      </c>
      <c r="B1" s="3" t="inlineStr">
        <is>
          <t>B (Форма)</t>
        </is>
      </c>
      <c r="C1" s="3" t="inlineStr">
        <is>
          <t>C (Метод)</t>
        </is>
      </c>
      <c r="D1" s="3" t="inlineStr">
        <is>
          <t>D (Значение, тыс. сом)</t>
        </is>
      </c>
      <c r="E1" s="3" t="inlineStr">
        <is>
          <t>E (Увязка с Балансом)</t>
        </is>
      </c>
      <c r="F1" s="3" t="inlineStr">
        <is>
          <t>F (Проверочная формула)</t>
        </is>
      </c>
      <c r="G1" s="3" t="inlineStr">
        <is>
          <t>G (Индикатор)</t>
        </is>
      </c>
    </row>
    <row r="2" ht="36" customHeight="1">
      <c r="A2" s="4" t="inlineStr">
        <is>
          <t>Выручка</t>
        </is>
      </c>
      <c r="B2" s="4" t="inlineStr">
        <is>
          <t>ОПУ</t>
        </is>
      </c>
      <c r="C2" s="4" t="inlineStr">
        <is>
          <t>Начисление</t>
        </is>
      </c>
      <c r="D2" s="5" t="n">
        <v>24000</v>
      </c>
      <c r="E2" s="4" t="inlineStr">
        <is>
          <t>Активы (Дебиторка/Деньги)</t>
        </is>
      </c>
      <c r="F2" s="7">
        <f>D2</f>
        <v>24000.0</v>
      </c>
      <c r="G2" s="4" t="inlineStr">
        <is>
          <t>[x] Подтверждено</t>
        </is>
      </c>
    </row>
    <row r="3" ht="36" customHeight="1">
      <c r="A3" s="4" t="inlineStr">
        <is>
          <t>Себестоимость</t>
        </is>
      </c>
      <c r="B3" s="4" t="inlineStr">
        <is>
          <t>ОПУ</t>
        </is>
      </c>
      <c r="C3" s="4" t="inlineStr">
        <is>
          <t>Начисление</t>
        </is>
      </c>
      <c r="D3" s="5" t="n">
        <v>18000</v>
      </c>
      <c r="E3" s="4" t="inlineStr">
        <is>
          <t>Активы (Запасы)</t>
        </is>
      </c>
      <c r="F3" s="7">
        <f>D3</f>
        <v>18000.0</v>
      </c>
      <c r="G3" s="4" t="inlineStr">
        <is>
          <t>[x] Подтверждено</t>
        </is>
      </c>
    </row>
    <row r="4" ht="36" customHeight="1">
      <c r="A4" s="4" t="inlineStr">
        <is>
          <t>Валовая прибыль</t>
        </is>
      </c>
      <c r="B4" s="4" t="inlineStr">
        <is>
          <t>ОПУ</t>
        </is>
      </c>
      <c r="C4" s="4" t="inlineStr">
        <is>
          <t>Начисление</t>
        </is>
      </c>
      <c r="D4" s="7">
        <f>D2-D3</f>
        <v>6000.0</v>
      </c>
      <c r="E4" s="4" t="inlineStr">
        <is>
          <t>Промежуточный результат ОПУ</t>
        </is>
      </c>
      <c r="F4" s="7">
        <f>D4</f>
        <v>6000.0</v>
      </c>
      <c r="G4" s="4" t="inlineStr">
        <is>
          <t>До иных расходов и налога на прибыль</t>
        </is>
      </c>
    </row>
    <row r="5" ht="36" customHeight="1">
      <c r="A5" s="4" t="inlineStr">
        <is>
          <t>Опер. Поступления</t>
        </is>
      </c>
      <c r="B5" s="4" t="inlineStr">
        <is>
          <t>ДДС</t>
        </is>
      </c>
      <c r="C5" s="4" t="inlineStr">
        <is>
          <t>Оплата</t>
        </is>
      </c>
      <c r="D5" s="5" t="n">
        <v>14000</v>
      </c>
      <c r="E5" s="4" t="inlineStr">
        <is>
          <t>Активы (Деньги)</t>
        </is>
      </c>
      <c r="F5" s="7">
        <f>D5</f>
        <v>14000.0</v>
      </c>
      <c r="G5" s="4" t="inlineStr">
        <is>
          <t>[x] Подтверждено</t>
        </is>
      </c>
    </row>
    <row r="6" ht="36" customHeight="1">
      <c r="A6" s="4" t="inlineStr">
        <is>
          <t>Опер. Выплаты</t>
        </is>
      </c>
      <c r="B6" s="4" t="inlineStr">
        <is>
          <t>ДДС</t>
        </is>
      </c>
      <c r="C6" s="4" t="inlineStr">
        <is>
          <t>Оплата</t>
        </is>
      </c>
      <c r="D6" s="5" t="n">
        <v>16000</v>
      </c>
      <c r="E6" s="4" t="inlineStr">
        <is>
          <t>Активы (Деньги)</t>
        </is>
      </c>
      <c r="F6" s="7">
        <f>D6</f>
        <v>16000.0</v>
      </c>
      <c r="G6" s="4" t="inlineStr">
        <is>
          <t>[x] Подтверждено</t>
        </is>
      </c>
    </row>
    <row r="7" ht="36" customHeight="1">
      <c r="A7" s="4" t="inlineStr">
        <is>
          <t>Денежный поток</t>
        </is>
      </c>
      <c r="B7" s="4" t="inlineStr">
        <is>
          <t>ДДС</t>
        </is>
      </c>
      <c r="C7" s="4" t="inlineStr">
        <is>
          <t>Оплата</t>
        </is>
      </c>
      <c r="D7" s="7">
        <f>D5-D6</f>
        <v>-2000.0</v>
      </c>
      <c r="E7" s="4" t="inlineStr">
        <is>
          <t>Деньги (Актив)</t>
        </is>
      </c>
      <c r="F7" s="7">
        <f>D7</f>
        <v>-2000.0</v>
      </c>
      <c r="G7" s="4" t="inlineStr">
        <is>
          <t>КАССОВЫЙ ОСТАТОК</t>
        </is>
      </c>
    </row>
    <row r="8" ht="36" customHeight="1">
      <c r="A8" s="4" t="inlineStr">
        <is>
          <t>Дебиторка</t>
        </is>
      </c>
      <c r="B8" s="4" t="inlineStr">
        <is>
          <t>Баланс</t>
        </is>
      </c>
      <c r="C8" s="4" t="inlineStr">
        <is>
          <t>На дату</t>
        </is>
      </c>
      <c r="D8" s="7">
        <f>D2-D5</f>
        <v>10000.0</v>
      </c>
      <c r="E8" s="4" t="inlineStr">
        <is>
          <t>Активы (Оборотные)</t>
        </is>
      </c>
      <c r="F8" s="7">
        <f>D8</f>
        <v>10000.0</v>
      </c>
      <c r="G8" s="4" t="inlineStr">
        <is>
          <t>ДОЛГ ПОКУПАТЕЛЕЙ</t>
        </is>
      </c>
    </row>
    <row r="11">
      <c r="A11" t="inlineStr">
        <is>
          <t>Пояснение</t>
        </is>
      </c>
    </row>
    <row r="12">
      <c r="A12" s="6" t="inlineStr">
        <is>
          <t>Выручка 24 000 минус себестоимость продаж 18 000 = валовая прибыль 6 000 тыс. сомони. Для чистой прибыли нужны другие расходы и налоги. Дебиторка 10 000 предполагает нулевой начальный долг, отсутствие авансов и поступления только по показанным продажам. Поток −2000 — изменение, не остаток денег.</t>
        </is>
      </c>
    </row>
    <row r="13"/>
    <row r="14"/>
  </sheetData>
  <autoFilter ref="A1:G8"/>
  <mergeCells count="1">
    <mergeCell ref="A12:G14"/>
  </mergeCells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46" customHeight="1">
      <c r="A1" s="3" t="inlineStr">
        <is>
          <t>A (Статья / Месяц)</t>
        </is>
      </c>
      <c r="B1" s="3" t="inlineStr">
        <is>
          <t>B (Янв)</t>
        </is>
      </c>
      <c r="C1" s="3" t="inlineStr">
        <is>
          <t>C (Фев)</t>
        </is>
      </c>
      <c r="D1" s="3" t="inlineStr">
        <is>
          <t>D (Мар)</t>
        </is>
      </c>
      <c r="E1" s="3" t="inlineStr">
        <is>
          <t>E (Апр)</t>
        </is>
      </c>
      <c r="F1" s="3" t="inlineStr">
        <is>
          <t>F (Май)</t>
        </is>
      </c>
      <c r="G1" s="3" t="inlineStr">
        <is>
          <t>G (Июн)</t>
        </is>
      </c>
      <c r="H1" s="3" t="inlineStr">
        <is>
          <t>H (Июл)</t>
        </is>
      </c>
      <c r="I1" s="3" t="inlineStr">
        <is>
          <t>I (Авг)</t>
        </is>
      </c>
      <c r="J1" s="3" t="inlineStr">
        <is>
          <t>J (Сен)</t>
        </is>
      </c>
      <c r="K1" s="3" t="inlineStr">
        <is>
          <t>K (Окт)</t>
        </is>
      </c>
      <c r="L1" s="3" t="inlineStr">
        <is>
          <t>L (Ноя)</t>
        </is>
      </c>
      <c r="M1" s="3" t="inlineStr">
        <is>
          <t>M (Дек)</t>
        </is>
      </c>
      <c r="N1" s="3" t="inlineStr">
        <is>
          <t>N (Год: поток / начальный и конечный запас)</t>
        </is>
      </c>
    </row>
    <row r="2" ht="36" customHeight="1">
      <c r="A2" s="4" t="inlineStr">
        <is>
          <t>1. Остаток на начало</t>
        </is>
      </c>
      <c r="B2" s="5" t="n">
        <v>10000</v>
      </c>
      <c r="C2" s="7">
        <f>B5</f>
        <v>50000.0</v>
      </c>
      <c r="D2" s="7">
        <f>C5</f>
        <v>52000.0</v>
      </c>
      <c r="E2" s="7">
        <f>D5</f>
        <v>80500.0</v>
      </c>
      <c r="F2" s="7">
        <f>E5</f>
        <v>65000.0</v>
      </c>
      <c r="G2" s="7">
        <f>F5</f>
        <v>56000.0</v>
      </c>
      <c r="H2" s="7">
        <f>G5</f>
        <v>50000.0</v>
      </c>
      <c r="I2" s="7">
        <f>H5</f>
        <v>45500.0</v>
      </c>
      <c r="J2" s="7">
        <f>I5</f>
        <v>37500.0</v>
      </c>
      <c r="K2" s="7">
        <f>J5</f>
        <v>45000.0</v>
      </c>
      <c r="L2" s="7">
        <f>K5</f>
        <v>49000.0</v>
      </c>
      <c r="M2" s="7">
        <f>L5</f>
        <v>54000.0</v>
      </c>
      <c r="N2" s="7">
        <f>B2</f>
        <v>10000.0</v>
      </c>
    </row>
    <row r="3" ht="36" customHeight="1">
      <c r="A3" s="4" t="inlineStr">
        <is>
          <t>2. Поступления (B2G)</t>
        </is>
      </c>
      <c r="B3" s="5" t="n">
        <v>55000</v>
      </c>
      <c r="C3" s="5" t="n">
        <v>20000</v>
      </c>
      <c r="D3" s="5" t="n">
        <v>53500</v>
      </c>
      <c r="E3" s="5" t="n">
        <v>14500</v>
      </c>
      <c r="F3" s="5" t="n">
        <v>13000</v>
      </c>
      <c r="G3" s="5" t="n">
        <v>14000</v>
      </c>
      <c r="H3" s="5" t="n">
        <v>13500</v>
      </c>
      <c r="I3" s="5" t="n">
        <v>7000</v>
      </c>
      <c r="J3" s="5" t="n">
        <v>27500</v>
      </c>
      <c r="K3" s="5" t="n">
        <v>34000</v>
      </c>
      <c r="L3" s="5" t="n">
        <v>25000</v>
      </c>
      <c r="M3" s="5" t="n">
        <v>46300</v>
      </c>
      <c r="N3" s="7">
        <f>SUM(B3:M3)</f>
        <v>323300.0</v>
      </c>
    </row>
    <row r="4" ht="36" customHeight="1">
      <c r="A4" s="4" t="inlineStr">
        <is>
          <t>3. Выплаты (OPEX+CAPEX)</t>
        </is>
      </c>
      <c r="B4" s="5" t="n">
        <v>15000</v>
      </c>
      <c r="C4" s="5" t="n">
        <v>18000</v>
      </c>
      <c r="D4" s="5" t="n">
        <v>25000</v>
      </c>
      <c r="E4" s="5" t="n">
        <v>30000</v>
      </c>
      <c r="F4" s="5" t="n">
        <v>22000</v>
      </c>
      <c r="G4" s="5" t="n">
        <v>20000</v>
      </c>
      <c r="H4" s="5" t="n">
        <v>18000</v>
      </c>
      <c r="I4" s="5" t="n">
        <v>15000</v>
      </c>
      <c r="J4" s="5" t="n">
        <v>20000</v>
      </c>
      <c r="K4" s="5" t="n">
        <v>30000</v>
      </c>
      <c r="L4" s="5" t="n">
        <v>20000</v>
      </c>
      <c r="M4" s="5" t="n">
        <v>20000</v>
      </c>
      <c r="N4" s="7">
        <f>SUM(B4:M4)</f>
        <v>253000.0</v>
      </c>
    </row>
    <row r="5" ht="36" customHeight="1">
      <c r="A5" s="4" t="inlineStr">
        <is>
          <t>4. Остаток на конец</t>
        </is>
      </c>
      <c r="B5" s="7">
        <f>B2+B3-B4</f>
        <v>50000.0</v>
      </c>
      <c r="C5" s="7">
        <f>C2+C3-C4</f>
        <v>52000.0</v>
      </c>
      <c r="D5" s="7">
        <f>D2+D3-D4</f>
        <v>80500.0</v>
      </c>
      <c r="E5" s="7">
        <f>E2+E3-E4</f>
        <v>65000.0</v>
      </c>
      <c r="F5" s="7">
        <f>F2+F3-F4</f>
        <v>56000.0</v>
      </c>
      <c r="G5" s="7">
        <f>G2+G3-G4</f>
        <v>50000.0</v>
      </c>
      <c r="H5" s="7">
        <f>H2+H3-H4</f>
        <v>45500.0</v>
      </c>
      <c r="I5" s="7">
        <f>I2+I3-I4</f>
        <v>37500.0</v>
      </c>
      <c r="J5" s="7">
        <f>J2+J3-J4</f>
        <v>45000.0</v>
      </c>
      <c r="K5" s="7">
        <f>K2+K3-K4</f>
        <v>49000.0</v>
      </c>
      <c r="L5" s="7">
        <f>L2+L3-L4</f>
        <v>54000.0</v>
      </c>
      <c r="M5" s="7">
        <f>M2+M3-M4</f>
        <v>80300.0</v>
      </c>
      <c r="N5" s="7">
        <f>M5</f>
        <v>80300.0</v>
      </c>
    </row>
    <row r="8">
      <c r="A8" t="inlineStr">
        <is>
          <t>Пояснение</t>
        </is>
      </c>
    </row>
    <row r="9">
      <c r="A9" s="6" t="inlineStr">
        <is>
          <t>Поступления и выплаты суммируются за год. Остатки денег не суммируются: показываются начало года и конец декабря. Исправлены ссылки на строки и переходящий остаток.</t>
        </is>
      </c>
    </row>
    <row r="10"/>
    <row r="11"/>
  </sheetData>
  <autoFilter ref="A1:N5"/>
  <mergeCells count="1">
    <mergeCell ref="A9:N11"/>
  </mergeCells>
  <pageMargins left="0.75" right="0.75" top="1" bottom="1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46" customHeight="1">
      <c r="A1" s="3" t="inlineStr">
        <is>
          <t>A (Статья)</t>
        </is>
      </c>
      <c r="B1" s="3" t="inlineStr">
        <is>
          <t>B (Янв)</t>
        </is>
      </c>
      <c r="C1" s="3" t="inlineStr">
        <is>
          <t>C (Фев)</t>
        </is>
      </c>
      <c r="D1" s="3" t="inlineStr">
        <is>
          <t>D (Мар)</t>
        </is>
      </c>
      <c r="E1" s="3" t="inlineStr">
        <is>
          <t>E (Апр)</t>
        </is>
      </c>
      <c r="F1" s="3" t="inlineStr">
        <is>
          <t>F (Май)</t>
        </is>
      </c>
      <c r="G1" s="3" t="inlineStr">
        <is>
          <t>G (Июн)</t>
        </is>
      </c>
      <c r="H1" s="3" t="inlineStr">
        <is>
          <t>H (Июл)</t>
        </is>
      </c>
      <c r="I1" s="3" t="inlineStr">
        <is>
          <t>I (Авг)</t>
        </is>
      </c>
      <c r="J1" s="3" t="inlineStr">
        <is>
          <t>J (Сен)</t>
        </is>
      </c>
      <c r="K1" s="3" t="inlineStr">
        <is>
          <t>K (Окт)</t>
        </is>
      </c>
      <c r="L1" s="3" t="inlineStr">
        <is>
          <t>L (Ноя)</t>
        </is>
      </c>
      <c r="M1" s="3" t="inlineStr">
        <is>
          <t>M (Дек)</t>
        </is>
      </c>
      <c r="N1" s="3" t="inlineStr">
        <is>
          <t>N (Год: поток / начальный и конечный запас)</t>
        </is>
      </c>
    </row>
    <row r="2" ht="36" customHeight="1">
      <c r="A2" s="4" t="inlineStr">
        <is>
          <t>Остаток нач.</t>
        </is>
      </c>
      <c r="B2" s="5" t="n">
        <v>10000</v>
      </c>
      <c r="C2" s="7">
        <f>B5</f>
        <v>50000.0</v>
      </c>
      <c r="D2" s="7">
        <f>C5</f>
        <v>52000.0</v>
      </c>
      <c r="E2" s="7">
        <f>D5</f>
        <v>80500.0</v>
      </c>
      <c r="F2" s="7">
        <f>E5</f>
        <v>65000.0</v>
      </c>
      <c r="G2" s="7">
        <f>F5</f>
        <v>56000.0</v>
      </c>
      <c r="H2" s="7">
        <f>G5</f>
        <v>50000.0</v>
      </c>
      <c r="I2" s="7">
        <f>H5</f>
        <v>45500.0</v>
      </c>
      <c r="J2" s="7">
        <f>I5</f>
        <v>37500.0</v>
      </c>
      <c r="K2" s="7">
        <f>J5</f>
        <v>45000.0</v>
      </c>
      <c r="L2" s="7">
        <f>K5</f>
        <v>49000.0</v>
      </c>
      <c r="M2" s="7">
        <f>L5</f>
        <v>54000.0</v>
      </c>
      <c r="N2" s="7">
        <f>B2</f>
        <v>10000.0</v>
      </c>
    </row>
    <row r="3" ht="36" customHeight="1">
      <c r="A3" s="4" t="inlineStr">
        <is>
          <t>Поступления</t>
        </is>
      </c>
      <c r="B3" s="5" t="n">
        <v>55000</v>
      </c>
      <c r="C3" s="5" t="n">
        <v>20000</v>
      </c>
      <c r="D3" s="5" t="n">
        <v>53500</v>
      </c>
      <c r="E3" s="5" t="n">
        <v>14500</v>
      </c>
      <c r="F3" s="5" t="n">
        <v>13000</v>
      </c>
      <c r="G3" s="5" t="n">
        <v>14000</v>
      </c>
      <c r="H3" s="5" t="n">
        <v>13500</v>
      </c>
      <c r="I3" s="5" t="n">
        <v>7000</v>
      </c>
      <c r="J3" s="5" t="n">
        <v>27500</v>
      </c>
      <c r="K3" s="5" t="n">
        <v>34000</v>
      </c>
      <c r="L3" s="5" t="n">
        <v>25000</v>
      </c>
      <c r="M3" s="5" t="n">
        <v>46300</v>
      </c>
      <c r="N3" s="7">
        <f>SUM(B3:M3)</f>
        <v>323300.0</v>
      </c>
    </row>
    <row r="4" ht="36" customHeight="1">
      <c r="A4" s="4" t="inlineStr">
        <is>
          <t>Выплаты</t>
        </is>
      </c>
      <c r="B4" s="5" t="n">
        <v>15000</v>
      </c>
      <c r="C4" s="5" t="n">
        <v>18000</v>
      </c>
      <c r="D4" s="5" t="n">
        <v>25000</v>
      </c>
      <c r="E4" s="5" t="n">
        <v>30000</v>
      </c>
      <c r="F4" s="5" t="n">
        <v>22000</v>
      </c>
      <c r="G4" s="5" t="n">
        <v>20000</v>
      </c>
      <c r="H4" s="5" t="n">
        <v>18000</v>
      </c>
      <c r="I4" s="5" t="n">
        <v>15000</v>
      </c>
      <c r="J4" s="5" t="n">
        <v>20000</v>
      </c>
      <c r="K4" s="5" t="n">
        <v>30000</v>
      </c>
      <c r="L4" s="5" t="n">
        <v>20000</v>
      </c>
      <c r="M4" s="5" t="n">
        <v>20000</v>
      </c>
      <c r="N4" s="7">
        <f>SUM(B4:M4)</f>
        <v>253000.0</v>
      </c>
    </row>
    <row r="5" ht="36" customHeight="1">
      <c r="A5" s="4" t="inlineStr">
        <is>
          <t>Остаток кон.</t>
        </is>
      </c>
      <c r="B5" s="7">
        <f>B2+B3-B4</f>
        <v>50000.0</v>
      </c>
      <c r="C5" s="7">
        <f>C2+C3-C4</f>
        <v>52000.0</v>
      </c>
      <c r="D5" s="7">
        <f>D2+D3-D4</f>
        <v>80500.0</v>
      </c>
      <c r="E5" s="7">
        <f>E2+E3-E4</f>
        <v>65000.0</v>
      </c>
      <c r="F5" s="7">
        <f>F2+F3-F4</f>
        <v>56000.0</v>
      </c>
      <c r="G5" s="7">
        <f>G2+G3-G4</f>
        <v>50000.0</v>
      </c>
      <c r="H5" s="7">
        <f>H2+H3-H4</f>
        <v>45500.0</v>
      </c>
      <c r="I5" s="7">
        <f>I2+I3-I4</f>
        <v>37500.0</v>
      </c>
      <c r="J5" s="7">
        <f>J2+J3-J4</f>
        <v>45000.0</v>
      </c>
      <c r="K5" s="7">
        <f>K2+K3-K4</f>
        <v>49000.0</v>
      </c>
      <c r="L5" s="7">
        <f>L2+L3-L4</f>
        <v>54000.0</v>
      </c>
      <c r="M5" s="7">
        <f>M2+M3-M4</f>
        <v>80300.0</v>
      </c>
      <c r="N5" s="7">
        <f>M5</f>
        <v>80300.0</v>
      </c>
    </row>
    <row r="8">
      <c r="A8" t="inlineStr">
        <is>
          <t>Пояснение</t>
        </is>
      </c>
    </row>
    <row r="9">
      <c r="A9" s="6" t="inlineStr">
        <is>
          <t>Поступления и выплаты суммируются за год. Остатки денег не суммируются: показываются начало года и конец декабря. Исправлены ссылки на строки и переходящий остаток.</t>
        </is>
      </c>
    </row>
    <row r="10"/>
    <row r="11"/>
  </sheetData>
  <autoFilter ref="A1:N5"/>
  <mergeCells count="1">
    <mergeCell ref="A9:N11"/>
  </mergeCells>
  <pageMargins left="0.75" right="0.75" top="1" bottom="1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Критерий</t>
        </is>
      </c>
      <c r="B1" s="3" t="inlineStr">
        <is>
          <t>Бухгалтерский учёт</t>
        </is>
      </c>
      <c r="C1" s="3" t="inlineStr">
        <is>
          <t>Управленческий учёт</t>
        </is>
      </c>
    </row>
    <row r="2" ht="36" customHeight="1">
      <c r="A2" s="4" t="inlineStr">
        <is>
          <t>Главный потребитель</t>
        </is>
      </c>
      <c r="B2" s="4" t="inlineStr">
        <is>
          <t>Внешние пользователи (налоговые органы, банки, статистика)</t>
        </is>
      </c>
      <c r="C2" s="4" t="inlineStr">
        <is>
          <t>Внутренние пользователи (собственник, директор, экономист)</t>
        </is>
      </c>
    </row>
    <row r="3" ht="36" customHeight="1">
      <c r="A3" s="4" t="inlineStr">
        <is>
          <t>Регулирование</t>
        </is>
      </c>
      <c r="B3" s="4" t="inlineStr">
        <is>
          <t>Строгое (Законы РТ, НСФО / МСФО, Налоговый кодекс)</t>
        </is>
      </c>
      <c r="C3" s="4" t="inlineStr">
        <is>
          <t>Гибкое (внутренние регламенты и стандарты холдинга)</t>
        </is>
      </c>
    </row>
    <row r="4" ht="36" customHeight="1">
      <c r="A4" s="4" t="inlineStr">
        <is>
          <t>Детализация</t>
        </is>
      </c>
      <c r="B4" s="4" t="inlineStr">
        <is>
          <t>Агрегированная (по счетам бухучёта в целом по юрлицу)</t>
        </is>
      </c>
      <c r="C4" s="4" t="inlineStr">
        <is>
          <t>Высокая (в разрезе полей, контуров, культур, бригад, машин)</t>
        </is>
      </c>
    </row>
    <row r="5" ht="36" customHeight="1">
      <c r="A5" s="4" t="inlineStr">
        <is>
          <t>Оперативность</t>
        </is>
      </c>
      <c r="B5" s="4" t="inlineStr">
        <is>
          <t>Низкая (квартал, год)</t>
        </is>
      </c>
      <c r="C5" s="4" t="inlineStr">
        <is>
          <t>Высокая (ежедневно, еженедельно, помесячно)</t>
        </is>
      </c>
    </row>
    <row r="6" ht="36" customHeight="1">
      <c r="A6" s="4" t="inlineStr">
        <is>
          <t>Фокус во времени</t>
        </is>
      </c>
      <c r="B6" s="4" t="inlineStr">
        <is>
          <t>Прошлый период (фиксация произошедших фактов)</t>
        </is>
      </c>
      <c r="C6" s="4" t="inlineStr">
        <is>
          <t>Настоящее и будущее (план-факт, бюджеты, прогнозы)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C6"/>
  <mergeCells count="1">
    <mergeCell ref="A10:C12"/>
  </mergeCells>
  <pageMargins left="0.75" right="0.75" top="1" bottom="1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(Ресурс/ТМЗ)</t>
        </is>
      </c>
      <c r="B1" s="3" t="inlineStr">
        <is>
          <t>B (Ед.)</t>
        </is>
      </c>
      <c r="C1" s="3" t="inlineStr">
        <is>
          <t>C (Бухучёт 1С)</t>
        </is>
      </c>
      <c r="D1" s="3" t="inlineStr">
        <is>
          <t>D (Управленческий)</t>
        </is>
      </c>
      <c r="E1" s="3" t="inlineStr">
        <is>
          <t>E (Факт инвентаризации)</t>
        </is>
      </c>
      <c r="F1" s="3" t="inlineStr">
        <is>
          <t>F (Отклонение Упр-Бух)</t>
        </is>
      </c>
      <c r="G1" s="3" t="inlineStr">
        <is>
          <t>G (Недостача Факт-Бух)</t>
        </is>
      </c>
      <c r="H1" s="3" t="inlineStr">
        <is>
          <t>H (Цена, сом)</t>
        </is>
      </c>
      <c r="I1" s="3" t="inlineStr">
        <is>
          <t>I (Ущерб/Сумма риска, сом)</t>
        </is>
      </c>
    </row>
    <row r="2" ht="36" customHeight="1">
      <c r="A2" s="4" t="inlineStr">
        <is>
          <t>Дизельное топливо</t>
        </is>
      </c>
      <c r="B2" s="4" t="inlineStr">
        <is>
          <t>л</t>
        </is>
      </c>
      <c r="C2" s="5" t="n">
        <v>45000</v>
      </c>
      <c r="D2" s="5" t="n">
        <v>45000</v>
      </c>
      <c r="E2" s="5" t="n">
        <v>41200</v>
      </c>
      <c r="F2" s="7">
        <f>D2-C2</f>
        <v>0.0</v>
      </c>
      <c r="G2" s="7">
        <f>E2-C2</f>
        <v>-3800.0</v>
      </c>
      <c r="H2" s="5" t="n">
        <v>11</v>
      </c>
      <c r="I2" s="7">
        <f>G2*H2</f>
        <v>-41800.0</v>
      </c>
    </row>
    <row r="3" ht="36" customHeight="1">
      <c r="A3" s="4" t="inlineStr">
        <is>
          <t>Карбамид</t>
        </is>
      </c>
      <c r="B3" s="4" t="inlineStr">
        <is>
          <t>кг</t>
        </is>
      </c>
      <c r="C3" s="5" t="n">
        <v>300000</v>
      </c>
      <c r="D3" s="5" t="n">
        <v>300000</v>
      </c>
      <c r="E3" s="5" t="n">
        <v>270000</v>
      </c>
      <c r="F3" s="7">
        <f>D3-C3</f>
        <v>0.0</v>
      </c>
      <c r="G3" s="7">
        <f>E3-C3</f>
        <v>-30000.0</v>
      </c>
      <c r="H3" s="5" t="n">
        <v>5.22</v>
      </c>
      <c r="I3" s="7">
        <f>G3*H3</f>
        <v>-156600.0</v>
      </c>
    </row>
    <row r="4" ht="36" customHeight="1">
      <c r="A4" s="4" t="inlineStr">
        <is>
          <t>Семена Ф65</t>
        </is>
      </c>
      <c r="B4" s="4" t="inlineStr">
        <is>
          <t>кг</t>
        </is>
      </c>
      <c r="C4" s="5" t="n">
        <v>40000</v>
      </c>
      <c r="D4" s="5" t="n">
        <v>40000</v>
      </c>
      <c r="E4" s="5" t="n">
        <v>40000</v>
      </c>
      <c r="F4" s="7">
        <f>D4-C4</f>
        <v>0.0</v>
      </c>
      <c r="G4" s="7">
        <f>E4-C4</f>
        <v>0.0</v>
      </c>
      <c r="H4" s="5" t="n">
        <v>32</v>
      </c>
      <c r="I4" s="7">
        <f>G4*H4</f>
        <v>0.0</v>
      </c>
    </row>
    <row r="5" ht="36" customHeight="1">
      <c r="A5" s="4" t="inlineStr">
        <is>
          <t>Запчасти (КРХ)</t>
        </is>
      </c>
      <c r="B5" s="4" t="inlineStr">
        <is>
          <t>компл</t>
        </is>
      </c>
      <c r="C5" s="5" t="n">
        <v>15</v>
      </c>
      <c r="D5" s="5" t="n">
        <v>15</v>
      </c>
      <c r="E5" s="5" t="n">
        <v>12</v>
      </c>
      <c r="F5" s="7">
        <f>D5-C5</f>
        <v>0.0</v>
      </c>
      <c r="G5" s="7">
        <f>E5-C5</f>
        <v>-3.0</v>
      </c>
      <c r="H5" s="5" t="n">
        <v>1400</v>
      </c>
      <c r="I5" s="7">
        <f>G5*H5</f>
        <v>-4200.0</v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I5"/>
  <mergeCells count="1">
    <mergeCell ref="A9:I11"/>
  </mergeCells>
  <pageMargins left="0.75" right="0.75" top="1" bottom="1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(Операция/Ресурс)</t>
        </is>
      </c>
      <c r="B1" s="3" t="inlineStr">
        <is>
          <t>B (Бухучёт 1С, сом)</t>
        </is>
      </c>
      <c r="C1" s="3" t="inlineStr">
        <is>
          <t>C (Управленческий, сом)</t>
        </is>
      </c>
      <c r="D1" s="3" t="inlineStr">
        <is>
          <t>D (Подтверждено первичкой, %)</t>
        </is>
      </c>
      <c r="E1" s="3" t="inlineStr">
        <is>
          <t>E (Наличие первички)</t>
        </is>
      </c>
      <c r="F1" s="3" t="inlineStr">
        <is>
          <t>F (Факт инвентаризации, сом)</t>
        </is>
      </c>
      <c r="G1" s="3" t="inlineStr">
        <is>
          <t>G (Расхождение Факт-Учёт)</t>
        </is>
      </c>
      <c r="H1" s="3" t="inlineStr">
        <is>
          <t>H (Статус операции)</t>
        </is>
      </c>
    </row>
    <row r="2" ht="36" customHeight="1">
      <c r="A2" s="4" t="inlineStr">
        <is>
          <t>Закупка удобрений</t>
        </is>
      </c>
      <c r="B2" s="5" t="n">
        <v>1566000</v>
      </c>
      <c r="C2" s="5" t="n">
        <v>1566000</v>
      </c>
      <c r="D2" s="9" t="n">
        <v>1</v>
      </c>
      <c r="E2" s="4" t="inlineStr">
        <is>
          <t>[x] ГТД + Накладная</t>
        </is>
      </c>
      <c r="F2" s="5" t="n">
        <v>1409400</v>
      </c>
      <c r="G2" s="7">
        <f>F2-B2</f>
        <v>-156600.0</v>
      </c>
      <c r="H2" s="4" t="inlineStr">
        <is>
          <t>НЕДОСТАЧА НА СКЛАДЕ</t>
        </is>
      </c>
    </row>
    <row r="3" ht="36" customHeight="1">
      <c r="A3" s="4" t="inlineStr">
        <is>
          <t>Списание ГСМ</t>
        </is>
      </c>
      <c r="B3" s="5" t="n">
        <v>495000</v>
      </c>
      <c r="C3" s="5" t="n">
        <v>495000</v>
      </c>
      <c r="D3" s="9" t="n">
        <v>0.85</v>
      </c>
      <c r="E3" s="4" t="inlineStr">
        <is>
          <t>[!] Нет 15% путевых</t>
        </is>
      </c>
      <c r="F3" s="5" t="n">
        <v>453200</v>
      </c>
      <c r="G3" s="7">
        <f>F3-B3</f>
        <v>-41800.0</v>
      </c>
      <c r="H3" s="4" t="inlineStr">
        <is>
          <t>РИСК ПРИПИСКИ</t>
        </is>
      </c>
    </row>
    <row r="4" ht="36" customHeight="1">
      <c r="A4" s="4" t="inlineStr">
        <is>
          <t>Сбор сырца (ФОТ)</t>
        </is>
      </c>
      <c r="B4" s="5" t="n">
        <v>3000000</v>
      </c>
      <c r="C4" s="5" t="n">
        <v>3000000</v>
      </c>
      <c r="D4" s="9" t="n">
        <v>1</v>
      </c>
      <c r="E4" s="4" t="inlineStr">
        <is>
          <t>[x] Ведомости сбора</t>
        </is>
      </c>
      <c r="F4" s="5" t="n">
        <v>3000000</v>
      </c>
      <c r="G4" s="7">
        <f>F4-B4</f>
        <v>0.0</v>
      </c>
      <c r="H4" s="4" t="inlineStr">
        <is>
          <t>ПОДТВЕРЖДЕНО</t>
        </is>
      </c>
    </row>
    <row r="5" ht="36" customHeight="1">
      <c r="A5" s="4" t="inlineStr">
        <is>
          <t>Полив (Водоканал)</t>
        </is>
      </c>
      <c r="B5" s="5" t="n">
        <v>270000</v>
      </c>
      <c r="C5" s="5" t="n">
        <v>270000</v>
      </c>
      <c r="D5" s="9" t="n">
        <v>1</v>
      </c>
      <c r="E5" s="4" t="inlineStr">
        <is>
          <t>[x] Акт Водоканала</t>
        </is>
      </c>
      <c r="F5" s="5" t="n">
        <v>270000</v>
      </c>
      <c r="G5" s="7">
        <f>F5-B5</f>
        <v>0.0</v>
      </c>
      <c r="H5" s="4" t="inlineStr">
        <is>
          <t>ПОДТВЕРЖДЕНО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H5"/>
  <mergeCells count="1">
    <mergeCell ref="A9:H11"/>
  </mergeCells>
  <pageMargins left="0.75" right="0.75" top="1" bottom="1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(Показатель)</t>
        </is>
      </c>
      <c r="B1" s="3" t="inlineStr">
        <is>
          <t>B (Формула)</t>
        </is>
      </c>
      <c r="C1" s="3" t="inlineStr">
        <is>
          <t>C (Значение 2025)</t>
        </is>
      </c>
      <c r="D1" s="3" t="inlineStr">
        <is>
          <t>D (Значение 2026)</t>
        </is>
      </c>
      <c r="E1" s="3" t="inlineStr">
        <is>
          <t>E (Норматив)</t>
        </is>
      </c>
      <c r="F1" s="3" t="inlineStr">
        <is>
          <t>F (Отклонение)</t>
        </is>
      </c>
      <c r="G1" s="3" t="inlineStr">
        <is>
          <t>G (Статус)</t>
        </is>
      </c>
    </row>
    <row r="2" ht="36" customHeight="1">
      <c r="A2" s="4" t="inlineStr">
        <is>
          <t>Оборотные активы, тыс. сом</t>
        </is>
      </c>
      <c r="B2" s="4" t="inlineStr">
        <is>
          <t>Запасы + Дебиторка + ДС</t>
        </is>
      </c>
      <c r="C2" s="5" t="n">
        <v>18000</v>
      </c>
      <c r="D2" s="5" t="n">
        <v>22000</v>
      </c>
      <c r="E2" s="4" t="inlineStr">
        <is>
          <t>—</t>
        </is>
      </c>
      <c r="F2" s="5" t="n">
        <v>4000</v>
      </c>
      <c r="G2" s="4" t="inlineStr">
        <is>
          <t>Рост</t>
        </is>
      </c>
    </row>
    <row r="3" ht="36" customHeight="1">
      <c r="A3" s="4" t="inlineStr">
        <is>
          <t>Краткосрочные долги, тыс. сом</t>
        </is>
      </c>
      <c r="B3" s="4" t="inlineStr">
        <is>
          <t>Кредиторка + Кредиты</t>
        </is>
      </c>
      <c r="C3" s="5" t="n">
        <v>11000</v>
      </c>
      <c r="D3" s="5" t="n">
        <v>13000</v>
      </c>
      <c r="E3" s="4" t="inlineStr">
        <is>
          <t>—</t>
        </is>
      </c>
      <c r="F3" s="5" t="n">
        <v>2000</v>
      </c>
      <c r="G3" s="4" t="inlineStr">
        <is>
          <t>Рост</t>
        </is>
      </c>
    </row>
    <row r="4" ht="36" customHeight="1">
      <c r="A4" s="4" t="inlineStr">
        <is>
          <t>Чистый оборотный капитал (NWC)</t>
        </is>
      </c>
      <c r="B4" s="7">
        <f>C2-C3</f>
        <v>7000.0</v>
      </c>
      <c r="C4" s="5" t="n">
        <v>7000</v>
      </c>
      <c r="D4" s="5" t="n">
        <v>9000</v>
      </c>
      <c r="E4" s="4" t="inlineStr">
        <is>
          <t>&gt; 0</t>
        </is>
      </c>
      <c r="F4" s="5" t="n">
        <v>2000</v>
      </c>
      <c r="G4" s="4" t="inlineStr">
        <is>
          <t>УСТОЙЧИВО</t>
        </is>
      </c>
    </row>
    <row r="5" ht="36" customHeight="1">
      <c r="A5" s="4" t="inlineStr">
        <is>
          <t>Дни запасов (DIO)</t>
        </is>
      </c>
      <c r="B5" s="4" t="inlineStr">
        <is>
          <t>(Запасы/Себестоимость)*365</t>
        </is>
      </c>
      <c r="C5" s="5" t="n">
        <v>140</v>
      </c>
      <c r="D5" s="5" t="n">
        <v>120</v>
      </c>
      <c r="E5" s="4" t="inlineStr">
        <is>
          <t>&lt; 100</t>
        </is>
      </c>
      <c r="F5" s="5" t="n">
        <v>-20</v>
      </c>
      <c r="G5" s="4" t="inlineStr">
        <is>
          <t>Улучшение</t>
        </is>
      </c>
    </row>
    <row r="6" ht="36" customHeight="1">
      <c r="A6" s="4" t="inlineStr">
        <is>
          <t>Дни дебиторки (DSO)</t>
        </is>
      </c>
      <c r="B6" s="4" t="inlineStr">
        <is>
          <t>(Дебиторка/Выручка)*365</t>
        </is>
      </c>
      <c r="C6" s="5" t="n">
        <v>90</v>
      </c>
      <c r="D6" s="5" t="n">
        <v>80</v>
      </c>
      <c r="E6" s="4" t="inlineStr">
        <is>
          <t>&lt; 60</t>
        </is>
      </c>
      <c r="F6" s="5" t="n">
        <v>-10</v>
      </c>
      <c r="G6" s="4" t="inlineStr">
        <is>
          <t>Улучшение</t>
        </is>
      </c>
    </row>
    <row r="7" ht="36" customHeight="1">
      <c r="A7" s="4" t="inlineStr">
        <is>
          <t>Дни кредиторки (DPO)</t>
        </is>
      </c>
      <c r="B7" s="4" t="inlineStr">
        <is>
          <t>(Кредиторка/Себест.)*365</t>
        </is>
      </c>
      <c r="C7" s="5" t="n">
        <v>50</v>
      </c>
      <c r="D7" s="5" t="n">
        <v>60</v>
      </c>
      <c r="E7" s="4" t="inlineStr">
        <is>
          <t>&gt; 45</t>
        </is>
      </c>
      <c r="F7" s="5" t="n">
        <v>10</v>
      </c>
      <c r="G7" s="4" t="inlineStr">
        <is>
          <t>Улучшение</t>
        </is>
      </c>
    </row>
    <row r="8" ht="36" customHeight="1">
      <c r="A8" s="4" t="inlineStr">
        <is>
          <t>Финансовый цикл (CCC), дней</t>
        </is>
      </c>
      <c r="B8" s="7">
        <f>C5+C6-C7</f>
        <v>180.0</v>
      </c>
      <c r="C8" s="5" t="n">
        <v>180</v>
      </c>
      <c r="D8" s="5" t="n">
        <v>140</v>
      </c>
      <c r="E8" s="4" t="inlineStr">
        <is>
          <t>&lt; 120</t>
        </is>
      </c>
      <c r="F8" s="5" t="n">
        <v>-40</v>
      </c>
      <c r="G8" s="4" t="inlineStr">
        <is>
          <t>УСКОРЕНИЕ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G8"/>
  <mergeCells count="1">
    <mergeCell ref="A12:G14"/>
  </mergeCells>
  <pageMargins left="0.75" right="0.75" top="1" bottom="1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(Показатель)</t>
        </is>
      </c>
      <c r="B1" s="3" t="inlineStr">
        <is>
          <t>B (Формула)</t>
        </is>
      </c>
      <c r="C1" s="3" t="inlineStr">
        <is>
          <t>C (2025 год)</t>
        </is>
      </c>
      <c r="D1" s="3" t="inlineStr">
        <is>
          <t>D (2026 план)</t>
        </is>
      </c>
      <c r="E1" s="3" t="inlineStr">
        <is>
          <t>E (Норматив)</t>
        </is>
      </c>
      <c r="F1" s="3" t="inlineStr">
        <is>
          <t>F (Динамика)</t>
        </is>
      </c>
      <c r="G1" s="3" t="inlineStr">
        <is>
          <t>G (Оценка)</t>
        </is>
      </c>
    </row>
    <row r="2" ht="36" customHeight="1">
      <c r="A2" s="4" t="inlineStr">
        <is>
          <t>Оборотные активы, тыс. сом</t>
        </is>
      </c>
      <c r="B2" s="4" t="inlineStr">
        <is>
          <t>Запасы + Дебиторка + ДС</t>
        </is>
      </c>
      <c r="C2" s="5" t="n">
        <v>18000</v>
      </c>
      <c r="D2" s="5" t="n">
        <v>22000</v>
      </c>
      <c r="E2" s="4" t="inlineStr">
        <is>
          <t>—</t>
        </is>
      </c>
      <c r="F2" s="5" t="n">
        <v>4000</v>
      </c>
      <c r="G2" s="4" t="inlineStr">
        <is>
          <t>Рост</t>
        </is>
      </c>
    </row>
    <row r="3" ht="36" customHeight="1">
      <c r="A3" s="4" t="inlineStr">
        <is>
          <t>Краткосрочные долги, тыс. сом</t>
        </is>
      </c>
      <c r="B3" s="4" t="inlineStr">
        <is>
          <t>Кредиторка + Кредиты</t>
        </is>
      </c>
      <c r="C3" s="5" t="n">
        <v>11000</v>
      </c>
      <c r="D3" s="5" t="n">
        <v>13000</v>
      </c>
      <c r="E3" s="4" t="inlineStr">
        <is>
          <t>—</t>
        </is>
      </c>
      <c r="F3" s="5" t="n">
        <v>2000</v>
      </c>
      <c r="G3" s="4" t="inlineStr">
        <is>
          <t>Рост</t>
        </is>
      </c>
    </row>
    <row r="4" ht="36" customHeight="1">
      <c r="A4" s="4" t="inlineStr">
        <is>
          <t>Чистый оборотный капитал</t>
        </is>
      </c>
      <c r="B4" s="7">
        <f>C2-C3</f>
        <v>7000.0</v>
      </c>
      <c r="C4" s="5" t="n">
        <v>7000</v>
      </c>
      <c r="D4" s="5" t="n">
        <v>9000</v>
      </c>
      <c r="E4" s="4" t="inlineStr">
        <is>
          <t>&gt; 0</t>
        </is>
      </c>
      <c r="F4" s="5" t="n">
        <v>2000</v>
      </c>
      <c r="G4" s="4" t="inlineStr">
        <is>
          <t>УСТОЙЧИВО</t>
        </is>
      </c>
    </row>
    <row r="5" ht="36" customHeight="1">
      <c r="A5" s="4" t="inlineStr">
        <is>
          <t>Дни запасов (DIO)</t>
        </is>
      </c>
      <c r="B5" s="4" t="inlineStr">
        <is>
          <t>Алгоритм: (Запасы/Себест.)*365</t>
        </is>
      </c>
      <c r="C5" s="5" t="n">
        <v>140</v>
      </c>
      <c r="D5" s="5" t="n">
        <v>120</v>
      </c>
      <c r="E5" s="4" t="inlineStr">
        <is>
          <t>&lt; 100</t>
        </is>
      </c>
      <c r="F5" s="5" t="n">
        <v>-20</v>
      </c>
      <c r="G5" s="4" t="inlineStr">
        <is>
          <t>Оптимизация</t>
        </is>
      </c>
    </row>
    <row r="6" ht="36" customHeight="1">
      <c r="A6" s="4" t="inlineStr">
        <is>
          <t>Дни дебиторки (DSO)</t>
        </is>
      </c>
      <c r="B6" s="4" t="inlineStr">
        <is>
          <t>Алгоритм: (Дебиторка/Выручка)*365</t>
        </is>
      </c>
      <c r="C6" s="5" t="n">
        <v>90</v>
      </c>
      <c r="D6" s="5" t="n">
        <v>80</v>
      </c>
      <c r="E6" s="4" t="inlineStr">
        <is>
          <t>&lt; 60</t>
        </is>
      </c>
      <c r="F6" s="5" t="n">
        <v>-10</v>
      </c>
      <c r="G6" s="4" t="inlineStr">
        <is>
          <t>Оптимизация</t>
        </is>
      </c>
    </row>
    <row r="7" ht="36" customHeight="1">
      <c r="A7" s="4" t="inlineStr">
        <is>
          <t>Дни кредиторки (DPO)</t>
        </is>
      </c>
      <c r="B7" s="4" t="inlineStr">
        <is>
          <t>Алгоритм: (Кредиторка/Себест.)*365</t>
        </is>
      </c>
      <c r="C7" s="5" t="n">
        <v>50</v>
      </c>
      <c r="D7" s="5" t="n">
        <v>60</v>
      </c>
      <c r="E7" s="4" t="inlineStr">
        <is>
          <t>&gt; 45</t>
        </is>
      </c>
      <c r="F7" s="5" t="n">
        <v>10</v>
      </c>
      <c r="G7" s="4" t="inlineStr">
        <is>
          <t>Оптимизация</t>
        </is>
      </c>
    </row>
    <row r="8" ht="36" customHeight="1">
      <c r="A8" s="4" t="inlineStr">
        <is>
          <t>Финансовый цикл (CCC), дней</t>
        </is>
      </c>
      <c r="B8" s="7">
        <f>C5+C6-C7</f>
        <v>180.0</v>
      </c>
      <c r="C8" s="5" t="n">
        <v>180</v>
      </c>
      <c r="D8" s="5" t="n">
        <v>140</v>
      </c>
      <c r="E8" s="4" t="inlineStr">
        <is>
          <t>&lt; 120</t>
        </is>
      </c>
      <c r="F8" s="5" t="n">
        <v>-40</v>
      </c>
      <c r="G8" s="4" t="inlineStr">
        <is>
          <t>УСКОРЕНИЕ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G8"/>
  <mergeCells count="1">
    <mergeCell ref="A12:G14"/>
  </mergeCells>
  <pageMargins left="0.75" right="0.75" top="1" bottom="1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6" customHeight="1">
      <c r="A1" s="3" t="inlineStr">
        <is>
          <t>Коэффициент</t>
        </is>
      </c>
      <c r="B1" s="3" t="inlineStr">
        <is>
          <t>Формула расчета</t>
        </is>
      </c>
      <c r="C1" s="3" t="inlineStr">
        <is>
          <t>Значение 2025</t>
        </is>
      </c>
      <c r="D1" s="3" t="inlineStr">
        <is>
          <t>Значение 2026 (План)</t>
        </is>
      </c>
      <c r="E1" s="3" t="inlineStr">
        <is>
          <t>Внутренний учебный ориентир</t>
        </is>
      </c>
      <c r="F1" s="3" t="inlineStr">
        <is>
          <t>Оценка состояния</t>
        </is>
      </c>
    </row>
    <row r="2" ht="36" customHeight="1">
      <c r="A2" s="4" t="inlineStr">
        <is>
          <t>Рентабельность продаж (ROS)</t>
        </is>
      </c>
      <c r="B2" s="4" t="inlineStr">
        <is>
          <t>6,0 млн (Прибыль) / 24,0 млн (Выручка)</t>
        </is>
      </c>
      <c r="C2" s="9" t="n">
        <v>0.25</v>
      </c>
      <c r="D2" s="9" t="n">
        <v>0.215</v>
      </c>
      <c r="E2" s="4" t="inlineStr">
        <is>
          <t>$&gt; 15\%$</t>
        </is>
      </c>
      <c r="F2" s="4" t="inlineStr">
        <is>
          <t>Высокая прибыльность</t>
        </is>
      </c>
    </row>
    <row r="3" ht="36" customHeight="1">
      <c r="A3" s="4" t="inlineStr">
        <is>
          <t>Рентабельность затрат (ROTC)</t>
        </is>
      </c>
      <c r="B3" s="4" t="inlineStr">
        <is>
          <t>6,0 млн (Прибыль) / 18,0 млн (Себест.)</t>
        </is>
      </c>
      <c r="C3" s="9" t="n">
        <v>0.333</v>
      </c>
      <c r="D3" s="9" t="n">
        <v>0.262</v>
      </c>
      <c r="E3" s="4" t="inlineStr">
        <is>
          <t>$&gt; 20\%$</t>
        </is>
      </c>
      <c r="F3" s="4" t="inlineStr">
        <is>
          <t>Отличный возврат затрат</t>
        </is>
      </c>
    </row>
    <row r="4" ht="36" customHeight="1">
      <c r="A4" s="4" t="inlineStr">
        <is>
          <t>Текущая ликвидность (CR)</t>
        </is>
      </c>
      <c r="B4" s="4" t="inlineStr">
        <is>
          <t>22,0 млн (Об. активы) / 13,0 млн (Долги)</t>
        </is>
      </c>
      <c r="C4" s="5" t="n">
        <v>1.69</v>
      </c>
      <c r="D4" s="5" t="n">
        <v>1.69</v>
      </c>
      <c r="E4" s="4" t="inlineStr">
        <is>
          <t>$&gt; 1,5$</t>
        </is>
      </c>
      <c r="F4" s="4" t="inlineStr">
        <is>
          <t>Платёжеспособность в норме</t>
        </is>
      </c>
    </row>
    <row r="5" ht="36" customHeight="1">
      <c r="A5" s="4" t="inlineStr">
        <is>
          <t>Коэффициент автономии (Kaut)</t>
        </is>
      </c>
      <c r="B5" s="4" t="inlineStr">
        <is>
          <t>20,0 млн (Капитал) / 50,0 млн (Активы)</t>
        </is>
      </c>
      <c r="C5" s="5" t="n">
        <v>0.4</v>
      </c>
      <c r="D5" s="5" t="n">
        <v>0.42</v>
      </c>
      <c r="E5" s="4" t="inlineStr">
        <is>
          <t>$&gt; 0,50$</t>
        </is>
      </c>
      <c r="F5" s="4" t="inlineStr">
        <is>
          <t>Повышенная долговая нагрузка</t>
        </is>
      </c>
    </row>
    <row r="6" ht="36" customHeight="1">
      <c r="A6" s="4" t="inlineStr">
        <is>
          <t>Период оборота запасов (DIO)</t>
        </is>
      </c>
      <c r="B6" s="4" t="inlineStr">
        <is>
          <t>Средние запасы / годовая себестоимость продаж × 365; для 140 дней средние запасы ≈ 6,904 млн</t>
        </is>
      </c>
      <c r="C6" s="5" t="n">
        <v>140</v>
      </c>
      <c r="D6" s="5" t="n">
        <v>120</v>
      </c>
      <c r="E6" s="4" t="inlineStr">
        <is>
          <t>$&lt; 100$ дней</t>
        </is>
      </c>
      <c r="F6" s="4" t="inlineStr">
        <is>
          <t>Длинный цикл (сезонность)</t>
        </is>
      </c>
    </row>
    <row r="9">
      <c r="A9" t="inlineStr">
        <is>
          <t>Пояснение</t>
        </is>
      </c>
    </row>
    <row r="10">
      <c r="A10" s="6" t="inlineStr">
        <is>
          <t>Пороговые значения — учебные управленческие ориентиры, не норматив достаточности для любой отрасли. DIO и DSO используют средние остатки; DPO желательно рассчитывать по закупкам в кредит. Сопоставляйте сезон и учётную политику. Валовая, операционная и чистая прибыль имеют разные числители рентабельности.</t>
        </is>
      </c>
    </row>
    <row r="11"/>
    <row r="12"/>
  </sheetData>
  <autoFilter ref="A1:F6"/>
  <mergeCells count="1">
    <mergeCell ref="A10:F12"/>
  </mergeCells>
  <pageMargins left="0.75" right="0.75" top="1" bottom="1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(Показатель / KPI)</t>
        </is>
      </c>
      <c r="B1" s="3" t="inlineStr">
        <is>
          <t>B (Группа)</t>
        </is>
      </c>
      <c r="C1" s="3" t="inlineStr">
        <is>
          <t>C (Формула)</t>
        </is>
      </c>
      <c r="D1" s="3" t="inlineStr">
        <is>
          <t>D (Факт 2025)</t>
        </is>
      </c>
      <c r="E1" s="3" t="inlineStr">
        <is>
          <t>E (План 2026)</t>
        </is>
      </c>
      <c r="F1" s="3" t="inlineStr">
        <is>
          <t>F (Норматив)</t>
        </is>
      </c>
      <c r="G1" s="3" t="inlineStr">
        <is>
          <t>G (Отклонение)</t>
        </is>
      </c>
      <c r="H1" s="3" t="inlineStr">
        <is>
          <t>H (Статус)</t>
        </is>
      </c>
    </row>
    <row r="2" ht="36" customHeight="1">
      <c r="A2" s="4" t="inlineStr">
        <is>
          <t>Рентабельность продаж (ROS)</t>
        </is>
      </c>
      <c r="B2" s="4" t="inlineStr">
        <is>
          <t>Прибыльность</t>
        </is>
      </c>
      <c r="C2" s="4" t="inlineStr">
        <is>
          <t>Алгоритм: Прибыль/Выручка</t>
        </is>
      </c>
      <c r="D2" s="9" t="n">
        <v>0.25</v>
      </c>
      <c r="E2" s="9" t="n">
        <v>0.215</v>
      </c>
      <c r="F2" s="4" t="inlineStr">
        <is>
          <t>$&gt; 15\%$</t>
        </is>
      </c>
      <c r="G2" s="9" t="n">
        <v>-0.035</v>
      </c>
      <c r="H2" s="4" t="inlineStr">
        <is>
          <t>[x] В норме</t>
        </is>
      </c>
    </row>
    <row r="3" ht="36" customHeight="1">
      <c r="A3" s="4" t="inlineStr">
        <is>
          <t>Рентабельность затрат (ROTC)</t>
        </is>
      </c>
      <c r="B3" s="4" t="inlineStr">
        <is>
          <t>Прибыльность</t>
        </is>
      </c>
      <c r="C3" s="4" t="inlineStr">
        <is>
          <t>Алгоритм: Прибыль/Себест.</t>
        </is>
      </c>
      <c r="D3" s="9" t="n">
        <v>0.333</v>
      </c>
      <c r="E3" s="9" t="n">
        <v>0.262</v>
      </c>
      <c r="F3" s="4" t="inlineStr">
        <is>
          <t>$&gt; 20\%$</t>
        </is>
      </c>
      <c r="G3" s="9" t="n">
        <v>-0.07099999999999999</v>
      </c>
      <c r="H3" s="4" t="inlineStr">
        <is>
          <t>[x] В норме</t>
        </is>
      </c>
    </row>
    <row r="4" ht="36" customHeight="1">
      <c r="A4" s="4" t="inlineStr">
        <is>
          <t>Рентабельность активов (ROA)</t>
        </is>
      </c>
      <c r="B4" s="4" t="inlineStr">
        <is>
          <t>Прибыльность</t>
        </is>
      </c>
      <c r="C4" s="4" t="inlineStr">
        <is>
          <t>Алгоритм: Прибыль/Активы</t>
        </is>
      </c>
      <c r="D4" s="9" t="n">
        <v>0.12</v>
      </c>
      <c r="E4" s="9" t="n">
        <v>0.1</v>
      </c>
      <c r="F4" s="4" t="inlineStr">
        <is>
          <t>$&gt; 8\%$</t>
        </is>
      </c>
      <c r="G4" s="9" t="n">
        <v>-0.02</v>
      </c>
      <c r="H4" s="4" t="inlineStr">
        <is>
          <t>[x] В норме</t>
        </is>
      </c>
    </row>
    <row r="5" ht="36" customHeight="1">
      <c r="A5" s="4" t="inlineStr">
        <is>
          <t>Текущая ликвидность (CR)</t>
        </is>
      </c>
      <c r="B5" s="4" t="inlineStr">
        <is>
          <t>Ликвидность</t>
        </is>
      </c>
      <c r="C5" s="4" t="inlineStr">
        <is>
          <t>Алгоритм: Об.Активы/Долги</t>
        </is>
      </c>
      <c r="D5" s="5" t="n">
        <v>1.69</v>
      </c>
      <c r="E5" s="5" t="n">
        <v>1.69</v>
      </c>
      <c r="F5" s="4" t="inlineStr">
        <is>
          <t>$&gt; 1.50$</t>
        </is>
      </c>
      <c r="G5" s="5" t="n">
        <v>0</v>
      </c>
      <c r="H5" s="4" t="inlineStr">
        <is>
          <t>[x] В норме</t>
        </is>
      </c>
    </row>
    <row r="6" ht="36" customHeight="1">
      <c r="A6" s="4" t="inlineStr">
        <is>
          <t>Коэффициент автономии (Kaut)</t>
        </is>
      </c>
      <c r="B6" s="4" t="inlineStr">
        <is>
          <t>Устойчивость</t>
        </is>
      </c>
      <c r="C6" s="4" t="inlineStr">
        <is>
          <t>Алгоритм: Капитал/Активы</t>
        </is>
      </c>
      <c r="D6" s="5" t="n">
        <v>0.4</v>
      </c>
      <c r="E6" s="5" t="n">
        <v>0.42</v>
      </c>
      <c r="F6" s="4" t="inlineStr">
        <is>
          <t>$&gt; 0.50$</t>
        </is>
      </c>
      <c r="G6" s="5" t="n">
        <v>0.02</v>
      </c>
      <c r="H6" s="4" t="inlineStr">
        <is>
          <t>НИЖЕ НОРМЫ</t>
        </is>
      </c>
    </row>
    <row r="7" ht="36" customHeight="1">
      <c r="A7" s="4" t="inlineStr">
        <is>
          <t>Период запасов (DIO)</t>
        </is>
      </c>
      <c r="B7" s="4" t="inlineStr">
        <is>
          <t>Активность</t>
        </is>
      </c>
      <c r="C7" s="4" t="inlineStr">
        <is>
          <t>Алгоритм: (Запасы/Себ)*365</t>
        </is>
      </c>
      <c r="D7" s="4" t="inlineStr">
        <is>
          <t>140 дн.</t>
        </is>
      </c>
      <c r="E7" s="4" t="inlineStr">
        <is>
          <t>120 дн.</t>
        </is>
      </c>
      <c r="F7" s="4" t="inlineStr">
        <is>
          <t>$&lt; 100$ дн.</t>
        </is>
      </c>
      <c r="G7" s="4" t="inlineStr">
        <is>
          <t>-20 дн.</t>
        </is>
      </c>
      <c r="H7" s="4" t="inlineStr">
        <is>
          <t>[x] Улучшение</t>
        </is>
      </c>
    </row>
    <row r="8" ht="36" customHeight="1">
      <c r="A8" s="4" t="inlineStr">
        <is>
          <t>Период дебиторки (DSO)</t>
        </is>
      </c>
      <c r="B8" s="4" t="inlineStr">
        <is>
          <t>Активность</t>
        </is>
      </c>
      <c r="C8" s="4" t="inlineStr">
        <is>
          <t>Алгоритм: (Дебиторка/Выр)*365</t>
        </is>
      </c>
      <c r="D8" s="4" t="inlineStr">
        <is>
          <t>90 дн.</t>
        </is>
      </c>
      <c r="E8" s="4" t="inlineStr">
        <is>
          <t>80 дн.</t>
        </is>
      </c>
      <c r="F8" s="4" t="inlineStr">
        <is>
          <t>$&lt; 60$ дн.</t>
        </is>
      </c>
      <c r="G8" s="4" t="inlineStr">
        <is>
          <t>-10 дн.</t>
        </is>
      </c>
      <c r="H8" s="4" t="inlineStr">
        <is>
          <t>[x] Улучшение</t>
        </is>
      </c>
    </row>
    <row r="9" ht="36" customHeight="1">
      <c r="A9" s="4" t="inlineStr">
        <is>
          <t>Период кредиторки (DPO)</t>
        </is>
      </c>
      <c r="B9" s="4" t="inlineStr">
        <is>
          <t>Активность</t>
        </is>
      </c>
      <c r="C9" s="4" t="inlineStr">
        <is>
          <t>Алгоритм: (Кредиторка/Себ)*365</t>
        </is>
      </c>
      <c r="D9" s="4" t="inlineStr">
        <is>
          <t>50 дн.</t>
        </is>
      </c>
      <c r="E9" s="4" t="inlineStr">
        <is>
          <t>60 дн.</t>
        </is>
      </c>
      <c r="F9" s="4" t="inlineStr">
        <is>
          <t>$&gt; 45$ дн.</t>
        </is>
      </c>
      <c r="G9" s="4" t="inlineStr">
        <is>
          <t>+10 дн.</t>
        </is>
      </c>
      <c r="H9" s="4" t="inlineStr">
        <is>
          <t>[x] Улучшение</t>
        </is>
      </c>
    </row>
    <row r="10" ht="36" customHeight="1">
      <c r="A10" s="4" t="inlineStr">
        <is>
          <t>Финансовый цикл (CCC)</t>
        </is>
      </c>
      <c r="B10" s="4" t="inlineStr">
        <is>
          <t>Активность</t>
        </is>
      </c>
      <c r="C10" s="4" t="inlineStr">
        <is>
          <t>Алгоритм: DIO + DSO − DPO</t>
        </is>
      </c>
      <c r="D10" s="4" t="inlineStr">
        <is>
          <t>180 дн.</t>
        </is>
      </c>
      <c r="E10" s="4" t="inlineStr">
        <is>
          <t>140 дн.</t>
        </is>
      </c>
      <c r="F10" s="4" t="inlineStr">
        <is>
          <t>$&lt; 120$ дн.</t>
        </is>
      </c>
      <c r="G10" s="4" t="inlineStr">
        <is>
          <t>-40 дн.</t>
        </is>
      </c>
      <c r="H10" s="4" t="inlineStr">
        <is>
          <t>[x] Ускорение</t>
        </is>
      </c>
    </row>
    <row r="11" ht="36" customHeight="1">
      <c r="A11" s="4" t="inlineStr">
        <is>
          <t>Себестоимость 1 ц хлопка</t>
        </is>
      </c>
      <c r="B11" s="4" t="inlineStr">
        <is>
          <t>Эффективность</t>
        </is>
      </c>
      <c r="C11" s="4" t="inlineStr">
        <is>
          <t>Алгоритм: Себест_га/Урожай</t>
        </is>
      </c>
      <c r="D11" s="5" t="n">
        <v>493</v>
      </c>
      <c r="E11" s="5" t="n">
        <v>493</v>
      </c>
      <c r="F11" s="4" t="inlineStr">
        <is>
          <t>$&lt; 500$ сом.</t>
        </is>
      </c>
      <c r="G11" s="5" t="n">
        <v>0</v>
      </c>
      <c r="H11" s="4" t="inlineStr">
        <is>
          <t>[x] В норме</t>
        </is>
      </c>
    </row>
    <row r="14">
      <c r="A14" t="inlineStr">
        <is>
          <t>Пояснение</t>
        </is>
      </c>
    </row>
    <row r="15">
      <c r="A15" s="6" t="inlineStr">
        <is>
          <t>Пороговые значения — учебные управленческие ориентиры, не норматив достаточности для любой отрасли. DIO и DSO используют средние остатки; DPO желательно рассчитывать по закупкам в кредит. Сопоставляйте сезон и учётную политику. Валовая, операционная и чистая прибыль имеют разные числители рентабельности.</t>
        </is>
      </c>
    </row>
    <row r="16"/>
    <row r="17"/>
  </sheetData>
  <autoFilter ref="A1:H11"/>
  <mergeCells count="1">
    <mergeCell ref="A15:H17"/>
  </mergeCells>
  <pageMargins left="0.75" right="0.75" top="1" bottom="1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6" customHeight="1">
      <c r="A1" s="3" t="inlineStr">
        <is>
          <t>A (KPI)</t>
        </is>
      </c>
      <c r="B1" s="3" t="inlineStr">
        <is>
          <t>B (Группа)</t>
        </is>
      </c>
      <c r="C1" s="3" t="inlineStr">
        <is>
          <t>C (Формула)</t>
        </is>
      </c>
      <c r="D1" s="3" t="inlineStr">
        <is>
          <t>D (2025 факт)</t>
        </is>
      </c>
      <c r="E1" s="3" t="inlineStr">
        <is>
          <t>E (2026 план)</t>
        </is>
      </c>
      <c r="F1" s="3" t="inlineStr">
        <is>
          <t>F (Норма)</t>
        </is>
      </c>
      <c r="G1" s="3" t="inlineStr">
        <is>
          <t>G (Отклонение)</t>
        </is>
      </c>
      <c r="H1" s="3" t="inlineStr">
        <is>
          <t>H (Статус)</t>
        </is>
      </c>
    </row>
    <row r="2" ht="36" customHeight="1">
      <c r="A2" s="4" t="inlineStr">
        <is>
          <t>Рентабельность продаж (ROS)</t>
        </is>
      </c>
      <c r="B2" s="4" t="inlineStr">
        <is>
          <t>Прибыль</t>
        </is>
      </c>
      <c r="C2" s="4" t="inlineStr">
        <is>
          <t>Прибыль / выручка</t>
        </is>
      </c>
      <c r="D2" s="9" t="n">
        <v>0.25</v>
      </c>
      <c r="E2" s="9" t="n">
        <v>0.215</v>
      </c>
      <c r="F2" s="5" t="n">
        <v>0.15</v>
      </c>
      <c r="G2" s="7">
        <f>E2-D2</f>
        <v>-0.035</v>
      </c>
      <c r="H2" s="7" t="str">
        <f>IF(E2&gt;F2,"ОК","РИСК")</f>
        <v>ОК</v>
      </c>
    </row>
    <row r="3" ht="36" customHeight="1">
      <c r="A3" s="4" t="inlineStr">
        <is>
          <t>Рентабельность затрат (ROTC)</t>
        </is>
      </c>
      <c r="B3" s="4" t="inlineStr">
        <is>
          <t>Прибыль</t>
        </is>
      </c>
      <c r="C3" s="4" t="inlineStr">
        <is>
          <t>Прибыль / затраты</t>
        </is>
      </c>
      <c r="D3" s="9" t="n">
        <v>0.333</v>
      </c>
      <c r="E3" s="9" t="n">
        <v>0.262</v>
      </c>
      <c r="F3" s="5" t="n">
        <v>0.2</v>
      </c>
      <c r="G3" s="7">
        <f>E3-D3</f>
        <v>-0.07099999999999995</v>
      </c>
      <c r="H3" s="7" t="str">
        <f>IF(E3&gt;F3,"ОК","РИСК")</f>
        <v>ОК</v>
      </c>
    </row>
    <row r="4" ht="36" customHeight="1">
      <c r="A4" s="4" t="inlineStr">
        <is>
          <t>Рентабельность активов (ROA)</t>
        </is>
      </c>
      <c r="B4" s="4" t="inlineStr">
        <is>
          <t>Прибыль</t>
        </is>
      </c>
      <c r="C4" s="4" t="inlineStr">
        <is>
          <t>Прибыль / средние активы</t>
        </is>
      </c>
      <c r="D4" s="9" t="n">
        <v>0.12</v>
      </c>
      <c r="E4" s="9" t="n">
        <v>0.1</v>
      </c>
      <c r="F4" s="5" t="n">
        <v>0.08</v>
      </c>
      <c r="G4" s="7">
        <f>E4-D4</f>
        <v>-0.01999999999999999</v>
      </c>
      <c r="H4" s="7" t="str">
        <f>IF(E4&gt;F4,"ОК","РИСК")</f>
        <v>ОК</v>
      </c>
    </row>
    <row r="5" ht="36" customHeight="1">
      <c r="A5" s="4" t="inlineStr">
        <is>
          <t>Текущая ликвидность (CR)</t>
        </is>
      </c>
      <c r="B5" s="4" t="inlineStr">
        <is>
          <t>Ликвидность</t>
        </is>
      </c>
      <c r="C5" s="4" t="inlineStr">
        <is>
          <t>Оборотные активы / краткосрочные обязательства</t>
        </is>
      </c>
      <c r="D5" s="5" t="n">
        <v>1.69</v>
      </c>
      <c r="E5" s="5" t="n">
        <v>1.69</v>
      </c>
      <c r="F5" s="5" t="n">
        <v>1.5</v>
      </c>
      <c r="G5" s="7">
        <f>E5-D5</f>
        <v>0.0</v>
      </c>
      <c r="H5" s="7" t="str">
        <f>IF(E5&gt;F5,"ОК","РИСК")</f>
        <v>ОК</v>
      </c>
    </row>
    <row r="6" ht="36" customHeight="1">
      <c r="A6" s="4" t="inlineStr">
        <is>
          <t>Коэффициент автономии</t>
        </is>
      </c>
      <c r="B6" s="4" t="inlineStr">
        <is>
          <t>Устойчивость</t>
        </is>
      </c>
      <c r="C6" s="4" t="inlineStr">
        <is>
          <t>Капитал / активы</t>
        </is>
      </c>
      <c r="D6" s="5" t="n">
        <v>0.4</v>
      </c>
      <c r="E6" s="5" t="n">
        <v>0.42</v>
      </c>
      <c r="F6" s="5" t="n">
        <v>0.5</v>
      </c>
      <c r="G6" s="7">
        <f>E6-D6</f>
        <v>0.019999999999999962</v>
      </c>
      <c r="H6" s="7" t="str">
        <f>IF(E6&gt;F6,"ОК","РИСК")</f>
        <v>РИСК</v>
      </c>
    </row>
    <row r="7" ht="36" customHeight="1">
      <c r="A7" s="4" t="inlineStr">
        <is>
          <t>Оборачиваемость запасов (DIO)</t>
        </is>
      </c>
      <c r="B7" s="4" t="inlineStr">
        <is>
          <t>Активность</t>
        </is>
      </c>
      <c r="C7" s="4" t="inlineStr">
        <is>
          <t>Средние запасы / себестоимость продаж × 365</t>
        </is>
      </c>
      <c r="D7" s="5" t="n">
        <v>140</v>
      </c>
      <c r="E7" s="5" t="n">
        <v>120</v>
      </c>
      <c r="F7" s="5" t="n">
        <v>100</v>
      </c>
      <c r="G7" s="7">
        <f>E7-D7</f>
        <v>-20.0</v>
      </c>
      <c r="H7" s="7" t="str">
        <f>IF(E7&lt;F7,"ОК","РИСК")</f>
        <v>РИСК</v>
      </c>
    </row>
    <row r="8" ht="36" customHeight="1">
      <c r="A8" s="4" t="inlineStr">
        <is>
          <t>Оборачиваемость дебиторки(DSO)</t>
        </is>
      </c>
      <c r="B8" s="4" t="inlineStr">
        <is>
          <t>Активность</t>
        </is>
      </c>
      <c r="C8" s="4" t="inlineStr">
        <is>
          <t>Средняя дебиторка / продажи в кредит × 365</t>
        </is>
      </c>
      <c r="D8" s="5" t="n">
        <v>90</v>
      </c>
      <c r="E8" s="5" t="n">
        <v>80</v>
      </c>
      <c r="F8" s="5" t="n">
        <v>60</v>
      </c>
      <c r="G8" s="7">
        <f>E8-D8</f>
        <v>-10.0</v>
      </c>
      <c r="H8" s="7" t="str">
        <f>IF(E8&lt;F8,"ОК","РИСК")</f>
        <v>РИСК</v>
      </c>
    </row>
    <row r="9" ht="36" customHeight="1">
      <c r="A9" s="4" t="inlineStr">
        <is>
          <t>Оборачиваемость кредиторки(DPO)</t>
        </is>
      </c>
      <c r="B9" s="4" t="inlineStr">
        <is>
          <t>Активность</t>
        </is>
      </c>
      <c r="C9" s="4" t="inlineStr">
        <is>
          <t>Средняя кредиторка / закупки в кредит × 365</t>
        </is>
      </c>
      <c r="D9" s="5" t="n">
        <v>50</v>
      </c>
      <c r="E9" s="5" t="n">
        <v>60</v>
      </c>
      <c r="F9" s="5" t="n">
        <v>45</v>
      </c>
      <c r="G9" s="7">
        <f>E9-D9</f>
        <v>10.0</v>
      </c>
      <c r="H9" s="7" t="str">
        <f>IF(E9&gt;F9,"ОК","РИСК")</f>
        <v>ОК</v>
      </c>
    </row>
    <row r="10" ht="36" customHeight="1">
      <c r="A10" s="4" t="inlineStr">
        <is>
          <t>Финансовый цикл (CCC)</t>
        </is>
      </c>
      <c r="B10" s="4" t="inlineStr">
        <is>
          <t>Активность</t>
        </is>
      </c>
      <c r="C10" s="4" t="inlineStr">
        <is>
          <t>DIO + DSO − DPO</t>
        </is>
      </c>
      <c r="D10" s="5" t="n">
        <v>180</v>
      </c>
      <c r="E10" s="5" t="n">
        <v>140</v>
      </c>
      <c r="F10" s="5" t="n">
        <v>120</v>
      </c>
      <c r="G10" s="7">
        <f>E10-D10</f>
        <v>-40.0</v>
      </c>
      <c r="H10" s="7" t="str">
        <f>IF(E10&lt;F10,"ОК","РИСК")</f>
        <v>РИСК</v>
      </c>
    </row>
    <row r="11" ht="36" customHeight="1">
      <c r="A11" s="4" t="inlineStr">
        <is>
          <t>Себестоимость 1 ц хлопка</t>
        </is>
      </c>
      <c r="B11" s="4" t="inlineStr">
        <is>
          <t>Эффективность</t>
        </is>
      </c>
      <c r="C11" s="4" t="inlineStr">
        <is>
          <t>Затраты на га / урожайность</t>
        </is>
      </c>
      <c r="D11" s="5" t="n">
        <v>493</v>
      </c>
      <c r="E11" s="5" t="n">
        <v>493</v>
      </c>
      <c r="F11" s="5" t="n">
        <v>500</v>
      </c>
      <c r="G11" s="7">
        <f>E11-D11</f>
        <v>0.0</v>
      </c>
      <c r="H11" s="7" t="str">
        <f>IF(E11&lt;F11,"ОК","РИСК")</f>
        <v>ОК</v>
      </c>
    </row>
    <row r="14">
      <c r="A14" t="inlineStr">
        <is>
          <t>Пояснение</t>
        </is>
      </c>
    </row>
    <row r="15">
      <c r="A15" s="6" t="inlineStr">
        <is>
          <t>Пороговые значения — учебные управленческие ориентиры, не норматив достаточности для любой отрасли. DIO и DSO используют средние остатки; DPO желательно рассчитывать по закупкам в кредит. Сопоставляйте сезон и учётную политику. Валовая, операционная и чистая прибыль имеют разные числители рентабельности.</t>
        </is>
      </c>
    </row>
    <row r="16"/>
    <row r="17"/>
  </sheetData>
  <autoFilter ref="A1:H11"/>
  <mergeCells count="1">
    <mergeCell ref="A15:H17"/>
  </mergeCells>
  <pageMargins left="0.75" right="0.75" top="1" bottom="1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Критерий</t>
        </is>
      </c>
      <c r="B1" s="3" t="inlineStr">
        <is>
          <t>Купить свой актив (CAPEX)</t>
        </is>
      </c>
      <c r="C1" s="3" t="inlineStr">
        <is>
          <t>Нанять / Арендовать (OPEX)</t>
        </is>
      </c>
    </row>
    <row r="2" ht="36" customHeight="1">
      <c r="A2" s="4" t="inlineStr">
        <is>
          <t>Потребность в кэше</t>
        </is>
      </c>
      <c r="B2" s="4" t="inlineStr">
        <is>
          <t>Разовый крупный отток</t>
        </is>
      </c>
      <c r="C2" s="4" t="inlineStr">
        <is>
          <t>Постепенные небольшие выплаты</t>
        </is>
      </c>
    </row>
    <row r="3" ht="36" customHeight="1">
      <c r="A3" s="4" t="inlineStr">
        <is>
          <t>Оптимальная загрузка</t>
        </is>
      </c>
      <c r="B3" s="4" t="inlineStr">
        <is>
          <t>Выгодно при высокой и регулярной загрузке</t>
        </is>
      </c>
      <c r="C3" s="4" t="inlineStr">
        <is>
          <t>Выгодно при редком/эпизодическом использовании</t>
        </is>
      </c>
    </row>
    <row r="4" ht="36" customHeight="1">
      <c r="A4" s="4" t="inlineStr">
        <is>
          <t>Операционный риск</t>
        </is>
      </c>
      <c r="B4" s="4" t="inlineStr">
        <is>
          <t>Свой контроль качества и сроков работы</t>
        </is>
      </c>
      <c r="C4" s="4" t="inlineStr">
        <is>
          <t>Риск простоя из-за отсутствия подрядчика в пик</t>
        </is>
      </c>
    </row>
    <row r="5" ht="36" customHeight="1">
      <c r="A5" s="4" t="inlineStr">
        <is>
          <t>Влияние на оборотку</t>
        </is>
      </c>
      <c r="B5" s="4" t="inlineStr">
        <is>
          <t>Замораживает чистый оборотный капитал</t>
        </is>
      </c>
      <c r="C5" s="4" t="inlineStr">
        <is>
          <t>Сохраняет ликвидность на счетах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C5"/>
  <mergeCells count="1">
    <mergeCell ref="A9:C11"/>
  </mergeCells>
  <pageMargins left="0.75" right="0.75" top="1" bottom="1" header="0.5" footer="0.5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(Наименование)</t>
        </is>
      </c>
      <c r="B1" s="3" t="inlineStr">
        <is>
          <t>B (Тип)</t>
        </is>
      </c>
      <c r="C1" s="3" t="inlineStr">
        <is>
          <t>C (CAPEX, сом)</t>
        </is>
      </c>
      <c r="D1" s="3" t="inlineStr">
        <is>
          <t>D (Срок, лет)</t>
        </is>
      </c>
      <c r="E1" s="3" t="inlineStr">
        <is>
          <t>E (Ликвидац., сом)</t>
        </is>
      </c>
      <c r="F1" s="3" t="inlineStr">
        <is>
          <t>F (Аморт./год, сом)</t>
        </is>
      </c>
      <c r="G1" s="3" t="inlineStr">
        <is>
          <t>G (OPEX/год, сом)</t>
        </is>
      </c>
      <c r="H1" s="3" t="inlineStr">
        <is>
          <t>H (Аннуитет капитала, r = 15%)</t>
        </is>
      </c>
      <c r="I1" s="3" t="inlineStr">
        <is>
          <t>I (EAC, сом/год)</t>
        </is>
      </c>
    </row>
    <row r="2" ht="36" customHeight="1">
      <c r="A2" s="4" t="inlineStr">
        <is>
          <t>Комбайн хлопковый</t>
        </is>
      </c>
      <c r="B2" s="4" t="inlineStr">
        <is>
          <t>Техника</t>
        </is>
      </c>
      <c r="C2" s="5" t="n">
        <v>825000</v>
      </c>
      <c r="D2" s="5" t="n">
        <v>10</v>
      </c>
      <c r="E2" s="5" t="n">
        <v>25000</v>
      </c>
      <c r="F2" s="7">
        <f>(C2-E2)/D2</f>
        <v>80000.0</v>
      </c>
      <c r="G2" s="5" t="n">
        <v>254000</v>
      </c>
      <c r="H2" s="8">
        <f>(C2-E2/1.15^D2)*0.15/(1-1.15^(-D2))</f>
        <v>163151.65001406788</v>
      </c>
      <c r="I2" s="7">
        <f>G2+H2</f>
        <v>417151.6500140679</v>
      </c>
    </row>
    <row r="3" ht="36" customHeight="1">
      <c r="A3" s="4" t="inlineStr">
        <is>
          <t>Опрыскиватель VP-1</t>
        </is>
      </c>
      <c r="B3" s="4" t="inlineStr">
        <is>
          <t>Техника</t>
        </is>
      </c>
      <c r="C3" s="5" t="n">
        <v>150000</v>
      </c>
      <c r="D3" s="5" t="n">
        <v>8</v>
      </c>
      <c r="E3" s="5" t="n">
        <v>10000</v>
      </c>
      <c r="F3" s="7">
        <f>(C3-E3)/D3</f>
        <v>17500.0</v>
      </c>
      <c r="G3" s="5" t="n">
        <v>60000</v>
      </c>
      <c r="H3" s="8">
        <f>(C3-E3/1.15^D3)*0.15/(1-1.15^(-D3))</f>
        <v>32699.012542339664</v>
      </c>
      <c r="I3" s="7">
        <f>G3+H3</f>
        <v>92699.01254233967</v>
      </c>
    </row>
    <row r="4" ht="36" customHeight="1">
      <c r="A4" s="4" t="inlineStr">
        <is>
          <t>Опыливатель ОШУ</t>
        </is>
      </c>
      <c r="B4" s="4" t="inlineStr">
        <is>
          <t>Техника</t>
        </is>
      </c>
      <c r="C4" s="5" t="n">
        <v>80000</v>
      </c>
      <c r="D4" s="5" t="n">
        <v>6</v>
      </c>
      <c r="E4" s="5" t="n">
        <v>5000</v>
      </c>
      <c r="F4" s="7">
        <f>(C4-E4)/D4</f>
        <v>12500.0</v>
      </c>
      <c r="G4" s="5" t="n">
        <v>35000</v>
      </c>
      <c r="H4" s="8">
        <f>(C4-E4/1.15^D4)*0.15/(1-1.15^(-D4))</f>
        <v>20567.76799255376</v>
      </c>
      <c r="I4" s="7">
        <f>G4+H4</f>
        <v>55567.76799255376</v>
      </c>
    </row>
    <row r="5" ht="36" customHeight="1">
      <c r="A5" s="4" t="inlineStr">
        <is>
          <t>Трактор Беларус</t>
        </is>
      </c>
      <c r="B5" s="4" t="inlineStr">
        <is>
          <t>Техника</t>
        </is>
      </c>
      <c r="C5" s="5" t="n">
        <v>350000</v>
      </c>
      <c r="D5" s="5" t="n">
        <v>10</v>
      </c>
      <c r="E5" s="5" t="n">
        <v>20000</v>
      </c>
      <c r="F5" s="7">
        <f>(C5-E5)/D5</f>
        <v>33000.0</v>
      </c>
      <c r="G5" s="5" t="n">
        <v>110000</v>
      </c>
      <c r="H5" s="8">
        <f>(C5-E5/1.15^D5)*0.15/(1-1.15^(-D5))</f>
        <v>68753.18063080299</v>
      </c>
      <c r="I5" s="7">
        <f>G5+H5</f>
        <v>178753.180630803</v>
      </c>
    </row>
    <row r="6" ht="36" customHeight="1">
      <c r="A6" s="4" t="inlineStr">
        <is>
          <t>ИТОГО</t>
        </is>
      </c>
      <c r="B6" s="4" t="inlineStr"/>
      <c r="C6" s="5" t="n">
        <v>1405000</v>
      </c>
      <c r="D6" s="4" t="inlineStr">
        <is>
          <t>—</t>
        </is>
      </c>
      <c r="E6" s="4" t="inlineStr">
        <is>
          <t>—</t>
        </is>
      </c>
      <c r="F6" s="7">
        <f>SUM(F2:F5)</f>
        <v>143000.0</v>
      </c>
      <c r="G6" s="7">
        <f>SUM(G2:G5)</f>
        <v>459000.0</v>
      </c>
      <c r="H6" s="8">
        <f>SUM(H2:H5)</f>
        <v>285171.6111797643</v>
      </c>
      <c r="I6" s="7">
        <f>SUM(I2:I5)</f>
        <v>744171.6111797643</v>
      </c>
    </row>
    <row r="9">
      <c r="A9" t="inlineStr">
        <is>
          <t>Пояснение</t>
        </is>
      </c>
    </row>
    <row r="10">
      <c r="A10" s="6" t="inlineStr">
        <is>
          <t>EAC — эквивалентные годовые затраты: аннуитет приведённой стоимости покупки за вычетом дисконтированной остаточной стоимости плюс ежегодные операционные затраты. Амортизация показана справочно и повторно в EAC не добавляется. Налоги и изменение OPEX не заданы.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(Наименование)</t>
        </is>
      </c>
      <c r="B1" s="3" t="inlineStr">
        <is>
          <t>B (Тип)</t>
        </is>
      </c>
      <c r="C1" s="3" t="inlineStr">
        <is>
          <t>C (CAPEX, сом)</t>
        </is>
      </c>
      <c r="D1" s="3" t="inlineStr">
        <is>
          <t>D (Срок, лет)</t>
        </is>
      </c>
      <c r="E1" s="3" t="inlineStr">
        <is>
          <t>E (Ликвидац., сом)</t>
        </is>
      </c>
      <c r="F1" s="3" t="inlineStr">
        <is>
          <t>F (Аморт./год, сом)</t>
        </is>
      </c>
      <c r="G1" s="3" t="inlineStr">
        <is>
          <t>G (OPEX/год, сом)</t>
        </is>
      </c>
      <c r="H1" s="3" t="inlineStr">
        <is>
          <t>H (Аннуитет капитала, r = 15%)</t>
        </is>
      </c>
      <c r="I1" s="3" t="inlineStr">
        <is>
          <t>I (EAC, сом/год)</t>
        </is>
      </c>
    </row>
    <row r="2" ht="36" customHeight="1">
      <c r="A2" s="4" t="inlineStr">
        <is>
          <t>Комбайн хлопковый</t>
        </is>
      </c>
      <c r="B2" s="4" t="inlineStr">
        <is>
          <t>Техника</t>
        </is>
      </c>
      <c r="C2" s="5" t="n">
        <v>825000</v>
      </c>
      <c r="D2" s="5" t="n">
        <v>10</v>
      </c>
      <c r="E2" s="5" t="n">
        <v>25000</v>
      </c>
      <c r="F2" s="7">
        <f>(C2-E2)/D2</f>
        <v>80000.0</v>
      </c>
      <c r="G2" s="5" t="n">
        <v>254000</v>
      </c>
      <c r="H2" s="8">
        <f>(C2-E2/1.15^D2)*0.15/(1-1.15^(-D2))</f>
        <v>163151.65001406788</v>
      </c>
      <c r="I2" s="7">
        <f>G2+H2</f>
        <v>417151.6500140679</v>
      </c>
    </row>
    <row r="3" ht="36" customHeight="1">
      <c r="A3" s="4" t="inlineStr">
        <is>
          <t>Опрыскиватель VP-1</t>
        </is>
      </c>
      <c r="B3" s="4" t="inlineStr">
        <is>
          <t>Техника</t>
        </is>
      </c>
      <c r="C3" s="5" t="n">
        <v>150000</v>
      </c>
      <c r="D3" s="5" t="n">
        <v>8</v>
      </c>
      <c r="E3" s="5" t="n">
        <v>10000</v>
      </c>
      <c r="F3" s="7">
        <f>(C3-E3)/D3</f>
        <v>17500.0</v>
      </c>
      <c r="G3" s="5" t="n">
        <v>60000</v>
      </c>
      <c r="H3" s="8">
        <f>(C3-E3/1.15^D3)*0.15/(1-1.15^(-D3))</f>
        <v>32699.012542339664</v>
      </c>
      <c r="I3" s="7">
        <f>G3+H3</f>
        <v>92699.01254233967</v>
      </c>
    </row>
    <row r="4" ht="36" customHeight="1">
      <c r="A4" s="4" t="inlineStr">
        <is>
          <t>Опыливатель ОШУ</t>
        </is>
      </c>
      <c r="B4" s="4" t="inlineStr">
        <is>
          <t>Техника</t>
        </is>
      </c>
      <c r="C4" s="5" t="n">
        <v>80000</v>
      </c>
      <c r="D4" s="5" t="n">
        <v>6</v>
      </c>
      <c r="E4" s="5" t="n">
        <v>5000</v>
      </c>
      <c r="F4" s="7">
        <f>(C4-E4)/D4</f>
        <v>12500.0</v>
      </c>
      <c r="G4" s="5" t="n">
        <v>35000</v>
      </c>
      <c r="H4" s="8">
        <f>(C4-E4/1.15^D4)*0.15/(1-1.15^(-D4))</f>
        <v>20567.76799255376</v>
      </c>
      <c r="I4" s="7">
        <f>G4+H4</f>
        <v>55567.76799255376</v>
      </c>
    </row>
    <row r="5" ht="36" customHeight="1">
      <c r="A5" s="4" t="inlineStr">
        <is>
          <t>Трактор Беларус</t>
        </is>
      </c>
      <c r="B5" s="4" t="inlineStr">
        <is>
          <t>Техника</t>
        </is>
      </c>
      <c r="C5" s="5" t="n">
        <v>350000</v>
      </c>
      <c r="D5" s="5" t="n">
        <v>10</v>
      </c>
      <c r="E5" s="5" t="n">
        <v>20000</v>
      </c>
      <c r="F5" s="7">
        <f>(C5-E5)/D5</f>
        <v>33000.0</v>
      </c>
      <c r="G5" s="5" t="n">
        <v>110000</v>
      </c>
      <c r="H5" s="8">
        <f>(C5-E5/1.15^D5)*0.15/(1-1.15^(-D5))</f>
        <v>68753.18063080299</v>
      </c>
      <c r="I5" s="7">
        <f>G5+H5</f>
        <v>178753.180630803</v>
      </c>
    </row>
    <row r="6" ht="36" customHeight="1">
      <c r="A6" s="4" t="inlineStr">
        <is>
          <t>ИТОГО</t>
        </is>
      </c>
      <c r="B6" s="4" t="inlineStr"/>
      <c r="C6" s="5" t="n">
        <v>1405000</v>
      </c>
      <c r="D6" s="4" t="inlineStr">
        <is>
          <t>—</t>
        </is>
      </c>
      <c r="E6" s="4" t="inlineStr">
        <is>
          <t>—</t>
        </is>
      </c>
      <c r="F6" s="7">
        <f>SUM(F2:F5)</f>
        <v>143000.0</v>
      </c>
      <c r="G6" s="7">
        <f>SUM(G2:G5)</f>
        <v>459000.0</v>
      </c>
      <c r="H6" s="8">
        <f>SUM(H2:H5)</f>
        <v>285171.6111797643</v>
      </c>
      <c r="I6" s="7">
        <f>SUM(I2:I5)</f>
        <v>744171.6111797643</v>
      </c>
    </row>
    <row r="9">
      <c r="A9" t="inlineStr">
        <is>
          <t>Пояснение</t>
        </is>
      </c>
    </row>
    <row r="10">
      <c r="A10" s="6" t="inlineStr">
        <is>
          <t>EAC — эквивалентные годовые затраты: аннуитет приведённой стоимости покупки за вычетом дисконтированной остаточной стоимости плюс ежегодные операционные затраты. Амортизация показана справочно и повторно в EAC не добавляется. Налоги и изменение OPEX не заданы.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Год</t>
        </is>
      </c>
      <c r="B1" s="3" t="inlineStr">
        <is>
          <t>CF, сомони</t>
        </is>
      </c>
      <c r="C1" s="3" t="inlineStr">
        <is>
          <t>Коэффициент, r = 15%</t>
        </is>
      </c>
      <c r="D1" s="3" t="inlineStr">
        <is>
          <t>PV потока, сомони</t>
        </is>
      </c>
    </row>
    <row r="2" ht="36" customHeight="1">
      <c r="A2" s="5" t="n">
        <v>0</v>
      </c>
      <c r="B2" s="5" t="n">
        <v>-825000</v>
      </c>
      <c r="C2" s="5" t="n">
        <v>1</v>
      </c>
      <c r="D2" s="5" t="n">
        <v>-825000</v>
      </c>
    </row>
    <row r="3" ht="36" customHeight="1">
      <c r="A3" s="5" t="n">
        <v>1</v>
      </c>
      <c r="B3" s="5" t="n">
        <v>1500000</v>
      </c>
      <c r="C3" s="5" t="n">
        <v>0.8695652173913044</v>
      </c>
      <c r="D3" s="5" t="n">
        <v>1304347.826086957</v>
      </c>
    </row>
    <row r="4" ht="36" customHeight="1">
      <c r="A4" s="5" t="n">
        <v>2</v>
      </c>
      <c r="B4" s="5" t="n">
        <v>1500000</v>
      </c>
      <c r="C4" s="5" t="n">
        <v>0.7561436672967865</v>
      </c>
      <c r="D4" s="5" t="n">
        <v>1134215.50094518</v>
      </c>
    </row>
    <row r="5" ht="36" customHeight="1">
      <c r="A5" s="5" t="n">
        <v>3</v>
      </c>
      <c r="B5" s="5" t="n">
        <v>1500000</v>
      </c>
      <c r="C5" s="5" t="n">
        <v>0.6575162324319883</v>
      </c>
      <c r="D5" s="5" t="n">
        <v>986274.3486479825</v>
      </c>
    </row>
    <row r="6" ht="36" customHeight="1">
      <c r="A6" s="5" t="n">
        <v>4</v>
      </c>
      <c r="B6" s="5" t="n">
        <v>1500000</v>
      </c>
      <c r="C6" s="5" t="n">
        <v>0.5717532455930334</v>
      </c>
      <c r="D6" s="5" t="n">
        <v>857629.86838955</v>
      </c>
    </row>
    <row r="7" ht="36" customHeight="1">
      <c r="A7" s="5" t="n">
        <v>5</v>
      </c>
      <c r="B7" s="5" t="n">
        <v>1500000</v>
      </c>
      <c r="C7" s="5" t="n">
        <v>0.4971767352982899</v>
      </c>
      <c r="D7" s="5" t="n">
        <v>745765.1029474349</v>
      </c>
    </row>
    <row r="8" ht="36" customHeight="1">
      <c r="A8" s="4" t="inlineStr">
        <is>
          <t>NPV</t>
        </is>
      </c>
      <c r="B8" s="4" t="inlineStr"/>
      <c r="C8" s="4" t="inlineStr"/>
      <c r="D8" s="5" t="n">
        <v>4203232.647017104</v>
      </c>
    </row>
    <row r="11">
      <c r="A11" t="inlineStr">
        <is>
          <t>Пояснение</t>
        </is>
      </c>
    </row>
    <row r="12">
      <c r="A12" s="6" t="inlineStr">
        <is>
          <t>Промежуточные коэффициенты не округляют перед суммированием: NPV = 4 203 232,65 сомони. Поток 1,5 млн/год — условный чистый прирост денег после операционных расходов, не выручка машины. Требуется проверка мощности и сезонной загрузки.</t>
        </is>
      </c>
    </row>
    <row r="13"/>
    <row r="14"/>
  </sheetData>
  <autoFilter ref="A1:D8"/>
  <mergeCells count="1">
    <mergeCell ref="A12:D14"/>
  </mergeCells>
  <pageMargins left="0.75" right="0.75" top="1" bottom="1" header="0.5" footer="0.5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(Год / Показатель)</t>
        </is>
      </c>
      <c r="B1" s="3" t="inlineStr">
        <is>
          <t>B (Инвестиции CAPEX, сом)</t>
        </is>
      </c>
      <c r="C1" s="3" t="inlineStr">
        <is>
          <t>C (OPEX, сом)</t>
        </is>
      </c>
      <c r="D1" s="3" t="inlineStr">
        <is>
          <t>D (Экономия/Приток, сом)</t>
        </is>
      </c>
      <c r="E1" s="3" t="inlineStr">
        <is>
          <t>E (Чистый поток CF, сом)</t>
        </is>
      </c>
      <c r="F1" s="3" t="inlineStr">
        <is>
          <t>F (Дисконт-фактор 15%)</t>
        </is>
      </c>
      <c r="G1" s="3" t="inlineStr">
        <is>
          <t>G (Дисконтированный CF, сом)</t>
        </is>
      </c>
    </row>
    <row r="2" ht="36" customHeight="1">
      <c r="A2" s="4" t="inlineStr">
        <is>
          <t>Год 0</t>
        </is>
      </c>
      <c r="B2" s="5" t="n">
        <v>825000</v>
      </c>
      <c r="C2" s="5" t="n">
        <v>0</v>
      </c>
      <c r="D2" s="5" t="n">
        <v>0</v>
      </c>
      <c r="E2" s="5" t="n">
        <v>-825000</v>
      </c>
      <c r="F2" s="5" t="n">
        <v>1</v>
      </c>
      <c r="G2" s="5" t="n">
        <v>-825000</v>
      </c>
    </row>
    <row r="3" ht="36" customHeight="1">
      <c r="A3" s="4" t="inlineStr">
        <is>
          <t>Год 1</t>
        </is>
      </c>
      <c r="B3" s="5" t="n">
        <v>0</v>
      </c>
      <c r="C3" s="5" t="n">
        <v>254000</v>
      </c>
      <c r="D3" s="5" t="n">
        <v>1754000</v>
      </c>
      <c r="E3" s="7">
        <f>D3-C3</f>
        <v>1500000.0</v>
      </c>
      <c r="F3" s="8">
        <f>1/(1+0.15)^1</f>
        <v>0.8695652173913044</v>
      </c>
      <c r="G3" s="7">
        <f>E3*F3</f>
        <v>1304347.8260869565</v>
      </c>
    </row>
    <row r="4" ht="36" customHeight="1">
      <c r="A4" s="4" t="inlineStr">
        <is>
          <t>Год 2</t>
        </is>
      </c>
      <c r="B4" s="5" t="n">
        <v>0</v>
      </c>
      <c r="C4" s="5" t="n">
        <v>254000</v>
      </c>
      <c r="D4" s="5" t="n">
        <v>1754000</v>
      </c>
      <c r="E4" s="7">
        <f>D4-C4</f>
        <v>1500000.0</v>
      </c>
      <c r="F4" s="8">
        <f>1/(1+0.15)^2</f>
        <v>0.7561436672967865</v>
      </c>
      <c r="G4" s="7">
        <f>E4*F4</f>
        <v>1134215.5009451797</v>
      </c>
    </row>
    <row r="5" ht="36" customHeight="1">
      <c r="A5" s="4" t="inlineStr">
        <is>
          <t>Год 3</t>
        </is>
      </c>
      <c r="B5" s="5" t="n">
        <v>0</v>
      </c>
      <c r="C5" s="5" t="n">
        <v>254000</v>
      </c>
      <c r="D5" s="5" t="n">
        <v>1754000</v>
      </c>
      <c r="E5" s="7">
        <f>D5-C5</f>
        <v>1500000.0</v>
      </c>
      <c r="F5" s="8">
        <f>1/(1+0.15)^3</f>
        <v>0.6575162324319883</v>
      </c>
      <c r="G5" s="7">
        <f>E5*F5</f>
        <v>986274.3486479825</v>
      </c>
    </row>
    <row r="6" ht="36" customHeight="1">
      <c r="A6" s="4" t="inlineStr">
        <is>
          <t>Год 4</t>
        </is>
      </c>
      <c r="B6" s="5" t="n">
        <v>0</v>
      </c>
      <c r="C6" s="5" t="n">
        <v>254000</v>
      </c>
      <c r="D6" s="5" t="n">
        <v>1754000</v>
      </c>
      <c r="E6" s="7">
        <f>D6-C6</f>
        <v>1500000.0</v>
      </c>
      <c r="F6" s="8">
        <f>1/(1+0.15)^4</f>
        <v>0.5717532455930334</v>
      </c>
      <c r="G6" s="7">
        <f>E6*F6</f>
        <v>857629.8683895501</v>
      </c>
    </row>
    <row r="7" ht="36" customHeight="1">
      <c r="A7" s="4" t="inlineStr">
        <is>
          <t>Год 5</t>
        </is>
      </c>
      <c r="B7" s="5" t="n">
        <v>0</v>
      </c>
      <c r="C7" s="5" t="n">
        <v>254000</v>
      </c>
      <c r="D7" s="5" t="n">
        <v>1754000</v>
      </c>
      <c r="E7" s="7">
        <f>D7-C7</f>
        <v>1500000.0</v>
      </c>
      <c r="F7" s="8">
        <f>1/(1+0.15)^5</f>
        <v>0.4971767352982899</v>
      </c>
      <c r="G7" s="7">
        <f>E7*F7</f>
        <v>745765.1029474348</v>
      </c>
    </row>
    <row r="8" ht="36" customHeight="1">
      <c r="A8" s="4" t="inlineStr">
        <is>
          <t>ИТОГО NPV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7">
        <f>SUM(G2:G7)</f>
        <v>4203232.647017104</v>
      </c>
    </row>
    <row r="11">
      <c r="A11" t="inlineStr">
        <is>
          <t>Пояснение</t>
        </is>
      </c>
    </row>
    <row r="12">
      <c r="A12" s="6" t="inlineStr">
        <is>
          <t>Промежуточные коэффициенты не округляют перед суммированием: NPV = 4 203 232,65 сомони. Поток 1,5 млн/год — условный чистый прирост денег после операционных расходов, не выручка машины. Требуется проверка мощности и сезонной загрузки.</t>
        </is>
      </c>
    </row>
    <row r="13"/>
    <row r="14"/>
  </sheetData>
  <autoFilter ref="A1:G8"/>
  <mergeCells count="1">
    <mergeCell ref="A12:G14"/>
  </mergeCells>
  <pageMargins left="0.75" right="0.75" top="1" bottom="1" header="0.5" footer="0.5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(Период)</t>
        </is>
      </c>
      <c r="B1" s="3" t="inlineStr">
        <is>
          <t>B (CAPEX, сом)</t>
        </is>
      </c>
      <c r="C1" s="3" t="inlineStr">
        <is>
          <t>C (OPEX, сом)</t>
        </is>
      </c>
      <c r="D1" s="3" t="inlineStr">
        <is>
          <t>D (Экономия, сом)</t>
        </is>
      </c>
      <c r="E1" s="3" t="inlineStr">
        <is>
          <t>E (Чистый поток CF, сом)</t>
        </is>
      </c>
      <c r="F1" s="3" t="inlineStr">
        <is>
          <t>F (Дисконт 15%)</t>
        </is>
      </c>
      <c r="G1" s="3" t="inlineStr">
        <is>
          <t>G (Дисконтированный CF, сом)</t>
        </is>
      </c>
    </row>
    <row r="2" ht="36" customHeight="1">
      <c r="A2" s="4" t="inlineStr">
        <is>
          <t>Год 0</t>
        </is>
      </c>
      <c r="B2" s="5" t="n">
        <v>825000</v>
      </c>
      <c r="C2" s="5" t="n">
        <v>0</v>
      </c>
      <c r="D2" s="5" t="n">
        <v>0</v>
      </c>
      <c r="E2" s="5" t="n">
        <v>-825000</v>
      </c>
      <c r="F2" s="5" t="n">
        <v>1</v>
      </c>
      <c r="G2" s="5" t="n">
        <v>-825000</v>
      </c>
    </row>
    <row r="3" ht="36" customHeight="1">
      <c r="A3" s="4" t="inlineStr">
        <is>
          <t>Год 1</t>
        </is>
      </c>
      <c r="B3" s="5" t="n">
        <v>0</v>
      </c>
      <c r="C3" s="5" t="n">
        <v>254000</v>
      </c>
      <c r="D3" s="5" t="n">
        <v>1754000</v>
      </c>
      <c r="E3" s="7">
        <f>D3-C3</f>
        <v>1500000.0</v>
      </c>
      <c r="F3" s="8">
        <f>1/(1+0.15)^1</f>
        <v>0.8695652173913044</v>
      </c>
      <c r="G3" s="7">
        <f>E3*F3</f>
        <v>1304347.8260869565</v>
      </c>
    </row>
    <row r="4" ht="36" customHeight="1">
      <c r="A4" s="4" t="inlineStr">
        <is>
          <t>Год 2</t>
        </is>
      </c>
      <c r="B4" s="5" t="n">
        <v>0</v>
      </c>
      <c r="C4" s="5" t="n">
        <v>254000</v>
      </c>
      <c r="D4" s="5" t="n">
        <v>1754000</v>
      </c>
      <c r="E4" s="7">
        <f>D4-C4</f>
        <v>1500000.0</v>
      </c>
      <c r="F4" s="8">
        <f>1/(1+0.15)^2</f>
        <v>0.7561436672967865</v>
      </c>
      <c r="G4" s="7">
        <f>E4*F4</f>
        <v>1134215.5009451797</v>
      </c>
    </row>
    <row r="5" ht="36" customHeight="1">
      <c r="A5" s="4" t="inlineStr">
        <is>
          <t>Год 3</t>
        </is>
      </c>
      <c r="B5" s="5" t="n">
        <v>0</v>
      </c>
      <c r="C5" s="5" t="n">
        <v>254000</v>
      </c>
      <c r="D5" s="5" t="n">
        <v>1754000</v>
      </c>
      <c r="E5" s="7">
        <f>D5-C5</f>
        <v>1500000.0</v>
      </c>
      <c r="F5" s="8">
        <f>1/(1+0.15)^3</f>
        <v>0.6575162324319883</v>
      </c>
      <c r="G5" s="7">
        <f>E5*F5</f>
        <v>986274.3486479825</v>
      </c>
    </row>
    <row r="6" ht="36" customHeight="1">
      <c r="A6" s="4" t="inlineStr">
        <is>
          <t>Год 4</t>
        </is>
      </c>
      <c r="B6" s="5" t="n">
        <v>0</v>
      </c>
      <c r="C6" s="5" t="n">
        <v>254000</v>
      </c>
      <c r="D6" s="5" t="n">
        <v>1754000</v>
      </c>
      <c r="E6" s="7">
        <f>D6-C6</f>
        <v>1500000.0</v>
      </c>
      <c r="F6" s="8">
        <f>1/(1+0.15)^4</f>
        <v>0.5717532455930334</v>
      </c>
      <c r="G6" s="7">
        <f>E6*F6</f>
        <v>857629.8683895501</v>
      </c>
    </row>
    <row r="7" ht="36" customHeight="1">
      <c r="A7" s="4" t="inlineStr">
        <is>
          <t>Год 5</t>
        </is>
      </c>
      <c r="B7" s="5" t="n">
        <v>0</v>
      </c>
      <c r="C7" s="5" t="n">
        <v>254000</v>
      </c>
      <c r="D7" s="5" t="n">
        <v>1754000</v>
      </c>
      <c r="E7" s="7">
        <f>D7-C7</f>
        <v>1500000.0</v>
      </c>
      <c r="F7" s="8">
        <f>1/(1+0.15)^5</f>
        <v>0.4971767352982899</v>
      </c>
      <c r="G7" s="7">
        <f>E7*F7</f>
        <v>745765.1029474348</v>
      </c>
    </row>
    <row r="8" ht="36" customHeight="1">
      <c r="A8" s="4" t="inlineStr">
        <is>
          <t>ИТОГО NPV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7">
        <f>SUM(G2:G7)</f>
        <v>4203232.647017104</v>
      </c>
    </row>
    <row r="11">
      <c r="A11" t="inlineStr">
        <is>
          <t>Пояснение</t>
        </is>
      </c>
    </row>
    <row r="12">
      <c r="A12" s="6" t="inlineStr">
        <is>
          <t>Промежуточные коэффициенты не округляют перед суммированием: NPV = 4 203 232,65 сомони. Поток 1,5 млн/год — условный чистый прирост денег после операционных расходов, не выручка машины. Требуется проверка мощности и сезонной загрузки.</t>
        </is>
      </c>
    </row>
    <row r="13"/>
    <row r="14"/>
  </sheetData>
  <autoFilter ref="A1:G8"/>
  <mergeCells count="1">
    <mergeCell ref="A12:G14"/>
  </mergeCells>
  <pageMargins left="0.75" right="0.75" top="1" bottom="1" header="0.5" footer="0.5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Показатель</t>
        </is>
      </c>
      <c r="B1" s="3" t="inlineStr">
        <is>
          <t>Ручной сбор / подряд</t>
        </is>
      </c>
      <c r="C1" s="3" t="inlineStr">
        <is>
          <t>Собственная техника</t>
        </is>
      </c>
      <c r="D1" s="3" t="inlineStr">
        <is>
          <t>Пояснение</t>
        </is>
      </c>
    </row>
    <row r="2" ht="36" customHeight="1">
      <c r="A2" s="4" t="inlineStr">
        <is>
          <t>Покупка в момент 0</t>
        </is>
      </c>
      <c r="B2" s="5" t="n">
        <v>0</v>
      </c>
      <c r="C2" s="5" t="n">
        <v>825000</v>
      </c>
      <c r="D2" s="4" t="inlineStr">
        <is>
          <t>Не добавляется повторно к EAC</t>
        </is>
      </c>
    </row>
    <row r="3" ht="36" customHeight="1">
      <c r="A3" s="4" t="inlineStr">
        <is>
          <t>OPEX/год</t>
        </is>
      </c>
      <c r="B3" s="5" t="n">
        <v>1300000</v>
      </c>
      <c r="C3" s="5" t="n">
        <v>254000</v>
      </c>
      <c r="D3" s="4" t="inlineStr">
        <is>
          <t>Сопоставимый объём 400 га</t>
        </is>
      </c>
    </row>
    <row r="4" ht="36" customHeight="1">
      <c r="A4" s="4" t="inlineStr">
        <is>
          <t>Остаточная стоимость на 10-й год</t>
        </is>
      </c>
      <c r="B4" s="5" t="n">
        <v>0</v>
      </c>
      <c r="C4" s="5" t="n">
        <v>25000</v>
      </c>
      <c r="D4" s="4" t="inlineStr">
        <is>
          <t>Учебное предположение</t>
        </is>
      </c>
    </row>
    <row r="5" ht="36" customHeight="1">
      <c r="A5" s="4" t="inlineStr">
        <is>
          <t>EAC при 15%, сом/год</t>
        </is>
      </c>
      <c r="B5" s="5" t="n">
        <v>1300000</v>
      </c>
      <c r="C5" s="5" t="n">
        <v>417151.6500140679</v>
      </c>
      <c r="D5" s="4" t="inlineStr">
        <is>
          <t>С учётом стоимости капитала</t>
        </is>
      </c>
    </row>
    <row r="6" ht="36" customHeight="1">
      <c r="A6" s="4" t="inlineStr">
        <is>
          <t>EAC на 1 га</t>
        </is>
      </c>
      <c r="B6" s="5" t="n">
        <v>3250</v>
      </c>
      <c r="C6" s="5" t="n">
        <v>1042.87912503517</v>
      </c>
      <c r="D6" s="4" t="inlineStr">
        <is>
          <t>Допускается равная доступность техники</t>
        </is>
      </c>
    </row>
    <row r="7" ht="36" customHeight="1">
      <c r="A7" s="4" t="inlineStr">
        <is>
          <t>Разница EAC за год</t>
        </is>
      </c>
      <c r="B7" s="5" t="n">
        <v>882848.3499859321</v>
      </c>
      <c r="C7" s="4" t="inlineStr"/>
      <c r="D7" s="4" t="inlineStr">
        <is>
          <t>Положительна в заданном сценарии</t>
        </is>
      </c>
    </row>
    <row r="10">
      <c r="A10" t="inlineStr">
        <is>
          <t>Пояснение</t>
        </is>
      </c>
    </row>
    <row r="11">
      <c r="A11" s="6" t="inlineStr">
        <is>
          <t>Сравнение приведено к одному горизонту 10 лет и ставке 15%. Ежегодную амортизацию нельзя складывать с полным CAPEX. При ограничении мощности, поломках и стоимости финансирования входные данные меняются.</t>
        </is>
      </c>
    </row>
    <row r="12"/>
    <row r="13"/>
  </sheetData>
  <autoFilter ref="A1:D7"/>
  <mergeCells count="1">
    <mergeCell ref="A11:D13"/>
  </mergeCells>
  <pageMargins left="0.75" right="0.75" top="1" bottom="1" header="0.5" footer="0.5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Показатель</t>
        </is>
      </c>
      <c r="B1" s="3" t="inlineStr">
        <is>
          <t>Ручной сбор / подряд</t>
        </is>
      </c>
      <c r="C1" s="3" t="inlineStr">
        <is>
          <t>Собственная техника</t>
        </is>
      </c>
      <c r="D1" s="3" t="inlineStr">
        <is>
          <t>Пояснение</t>
        </is>
      </c>
    </row>
    <row r="2" ht="36" customHeight="1">
      <c r="A2" s="4" t="inlineStr">
        <is>
          <t>Покупка в момент 0</t>
        </is>
      </c>
      <c r="B2" s="5" t="n">
        <v>0</v>
      </c>
      <c r="C2" s="5" t="n">
        <v>825000</v>
      </c>
      <c r="D2" s="4" t="inlineStr">
        <is>
          <t>Не добавляется повторно к EAC</t>
        </is>
      </c>
    </row>
    <row r="3" ht="36" customHeight="1">
      <c r="A3" s="4" t="inlineStr">
        <is>
          <t>OPEX/год</t>
        </is>
      </c>
      <c r="B3" s="5" t="n">
        <v>1300000</v>
      </c>
      <c r="C3" s="5" t="n">
        <v>254000</v>
      </c>
      <c r="D3" s="4" t="inlineStr">
        <is>
          <t>Сопоставимый объём 400 га</t>
        </is>
      </c>
    </row>
    <row r="4" ht="36" customHeight="1">
      <c r="A4" s="4" t="inlineStr">
        <is>
          <t>Остаточная стоимость на 10-й год</t>
        </is>
      </c>
      <c r="B4" s="5" t="n">
        <v>0</v>
      </c>
      <c r="C4" s="5" t="n">
        <v>25000</v>
      </c>
      <c r="D4" s="4" t="inlineStr">
        <is>
          <t>Учебное предположение</t>
        </is>
      </c>
    </row>
    <row r="5" ht="36" customHeight="1">
      <c r="A5" s="4" t="inlineStr">
        <is>
          <t>EAC при 15%, сом/год</t>
        </is>
      </c>
      <c r="B5" s="5" t="n">
        <v>1300000</v>
      </c>
      <c r="C5" s="5" t="n">
        <v>417151.6500140679</v>
      </c>
      <c r="D5" s="4" t="inlineStr">
        <is>
          <t>С учётом стоимости капитала</t>
        </is>
      </c>
    </row>
    <row r="6" ht="36" customHeight="1">
      <c r="A6" s="4" t="inlineStr">
        <is>
          <t>EAC на 1 га</t>
        </is>
      </c>
      <c r="B6" s="5" t="n">
        <v>3250</v>
      </c>
      <c r="C6" s="5" t="n">
        <v>1042.87912503517</v>
      </c>
      <c r="D6" s="4" t="inlineStr">
        <is>
          <t>Допускается равная доступность техники</t>
        </is>
      </c>
    </row>
    <row r="7" ht="36" customHeight="1">
      <c r="A7" s="4" t="inlineStr">
        <is>
          <t>Разница EAC за год</t>
        </is>
      </c>
      <c r="B7" s="5" t="n">
        <v>882848.3499859321</v>
      </c>
      <c r="C7" s="4" t="inlineStr"/>
      <c r="D7" s="4" t="inlineStr">
        <is>
          <t>Положительна в заданном сценарии</t>
        </is>
      </c>
    </row>
    <row r="10">
      <c r="A10" t="inlineStr">
        <is>
          <t>Пояснение</t>
        </is>
      </c>
    </row>
    <row r="11">
      <c r="A11" s="6" t="inlineStr">
        <is>
          <t>Сравнение приведено к одному горизонту 10 лет и ставке 15%. Ежегодную амортизацию нельзя складывать с полным CAPEX. При ограничении мощности, поломках и стоимости финансирования входные данные меняются.</t>
        </is>
      </c>
    </row>
    <row r="12"/>
    <row r="13"/>
  </sheetData>
  <autoFilter ref="A1:D7"/>
  <mergeCells count="1">
    <mergeCell ref="A11:D13"/>
  </mergeCells>
  <pageMargins left="0.75" right="0.75" top="1" bottom="1" header="0.5" footer="0.5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Показатель</t>
        </is>
      </c>
      <c r="B1" s="3" t="inlineStr">
        <is>
          <t>Пессимистичный</t>
        </is>
      </c>
      <c r="C1" s="3" t="inlineStr">
        <is>
          <t>Базовый</t>
        </is>
      </c>
      <c r="D1" s="3" t="inlineStr">
        <is>
          <t>Оптимистичный</t>
        </is>
      </c>
    </row>
    <row r="2" ht="36" customHeight="1">
      <c r="A2" s="4" t="inlineStr">
        <is>
          <t>Урожайность, ц/га</t>
        </is>
      </c>
      <c r="B2" s="5" t="n">
        <v>24</v>
      </c>
      <c r="C2" s="5" t="n">
        <v>30</v>
      </c>
      <c r="D2" s="5" t="n">
        <v>34</v>
      </c>
    </row>
    <row r="3" ht="36" customHeight="1">
      <c r="A3" s="4" t="inlineStr">
        <is>
          <t>Цена, сом/ц</t>
        </is>
      </c>
      <c r="B3" s="5" t="n">
        <v>520</v>
      </c>
      <c r="C3" s="5" t="n">
        <v>600</v>
      </c>
      <c r="D3" s="5" t="n">
        <v>650</v>
      </c>
    </row>
    <row r="4" ht="36" customHeight="1">
      <c r="A4" s="4" t="inlineStr">
        <is>
          <t>Выручка/га</t>
        </is>
      </c>
      <c r="B4" s="5" t="n">
        <v>12480</v>
      </c>
      <c r="C4" s="5" t="n">
        <v>18000</v>
      </c>
      <c r="D4" s="5" t="n">
        <v>22100</v>
      </c>
    </row>
    <row r="5" ht="36" customHeight="1">
      <c r="A5" s="4" t="inlineStr">
        <is>
          <t>Затраты/га</t>
        </is>
      </c>
      <c r="B5" s="5" t="n">
        <v>15050</v>
      </c>
      <c r="C5" s="5" t="n">
        <v>15050</v>
      </c>
      <c r="D5" s="5" t="n">
        <v>15050</v>
      </c>
    </row>
    <row r="6" ht="36" customHeight="1">
      <c r="A6" s="4" t="inlineStr">
        <is>
          <t>Результат/га</t>
        </is>
      </c>
      <c r="B6" s="5" t="n">
        <v>-2570</v>
      </c>
      <c r="C6" s="5" t="n">
        <v>2950</v>
      </c>
      <c r="D6" s="5" t="n">
        <v>7050</v>
      </c>
    </row>
    <row r="7" ht="36" customHeight="1">
      <c r="A7" s="4" t="inlineStr">
        <is>
          <t>Результат на 1350 га</t>
        </is>
      </c>
      <c r="B7" s="5" t="n">
        <v>-3469500</v>
      </c>
      <c r="C7" s="5" t="n">
        <v>3982500</v>
      </c>
      <c r="D7" s="5" t="n">
        <v>9517500</v>
      </c>
    </row>
    <row r="10">
      <c r="A10" t="inlineStr">
        <is>
          <t>Пояснение</t>
        </is>
      </c>
    </row>
    <row r="11">
      <c r="A11" s="6" t="inlineStr">
        <is>
          <t>Удалены случайно присоединённые к числам номера ссылок. Сценарии не снабжены вероятностями; их нельзя усреднять как прогноз без дополнительных допущений.</t>
        </is>
      </c>
    </row>
    <row r="12"/>
    <row r="13"/>
  </sheetData>
  <autoFilter ref="A1:D7"/>
  <mergeCells count="1">
    <mergeCell ref="A11:D13"/>
  </mergeCells>
  <pageMargins left="0.75" right="0.75" top="1" bottom="1" header="0.5" footer="0.5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(Параметр)</t>
        </is>
      </c>
      <c r="B1" s="3" t="inlineStr">
        <is>
          <t>B (Пессимистичный)</t>
        </is>
      </c>
      <c r="C1" s="3" t="inlineStr">
        <is>
          <t>C (Базовый)</t>
        </is>
      </c>
      <c r="D1" s="3" t="inlineStr">
        <is>
          <t>D (Оптимистичный)</t>
        </is>
      </c>
      <c r="E1" s="3" t="inlineStr">
        <is>
          <t>E (Отклонение Песс/База)</t>
        </is>
      </c>
      <c r="F1" s="3" t="inlineStr">
        <is>
          <t>F (Отклонение Опт/База)</t>
        </is>
      </c>
      <c r="G1" s="3" t="inlineStr">
        <is>
          <t>G (Статус риска)</t>
        </is>
      </c>
    </row>
    <row r="2" ht="36" customHeight="1">
      <c r="A2" s="4" t="inlineStr">
        <is>
          <t>Урожайность, ц/га</t>
        </is>
      </c>
      <c r="B2" s="5" t="n">
        <v>24</v>
      </c>
      <c r="C2" s="5" t="n">
        <v>30</v>
      </c>
      <c r="D2" s="5" t="n">
        <v>34</v>
      </c>
      <c r="E2" s="7">
        <f>(B2-C2)/C2</f>
        <v>-0.2</v>
      </c>
      <c r="F2" s="7">
        <f>(D2-C2)/C2</f>
        <v>0.13333333333333333</v>
      </c>
      <c r="G2" s="4" t="inlineStr">
        <is>
          <t>Высокий фактор</t>
        </is>
      </c>
    </row>
    <row r="3" ht="36" customHeight="1">
      <c r="A3" s="4" t="inlineStr">
        <is>
          <t>Цена сырца, сом./ц</t>
        </is>
      </c>
      <c r="B3" s="5" t="n">
        <v>520</v>
      </c>
      <c r="C3" s="5" t="n">
        <v>600</v>
      </c>
      <c r="D3" s="5" t="n">
        <v>650</v>
      </c>
      <c r="E3" s="7">
        <f>(B3-C3)/C3</f>
        <v>-0.13333333333333333</v>
      </c>
      <c r="F3" s="7">
        <f>(D3-C3)/C3</f>
        <v>0.08333333333333333</v>
      </c>
      <c r="G3" s="4" t="inlineStr">
        <is>
          <t>Критический фактор</t>
        </is>
      </c>
    </row>
    <row r="4" ht="36" customHeight="1">
      <c r="A4" s="4" t="inlineStr">
        <is>
          <t>Выручка на 1 га, сом.</t>
        </is>
      </c>
      <c r="B4" s="7">
        <f>B2*B3</f>
        <v>12480.0</v>
      </c>
      <c r="C4" s="7">
        <f>C2*C3</f>
        <v>18000.0</v>
      </c>
      <c r="D4" s="7">
        <f>D2*D3</f>
        <v>22100.0</v>
      </c>
      <c r="E4" s="7">
        <f>(B4-C4)/C4</f>
        <v>-0.30666666666666664</v>
      </c>
      <c r="F4" s="7">
        <f>(D4-C4)/C4</f>
        <v>0.22777777777777777</v>
      </c>
      <c r="G4" s="4" t="inlineStr">
        <is>
          <t>Волатильно</t>
        </is>
      </c>
    </row>
    <row r="5" ht="36" customHeight="1">
      <c r="A5" s="4" t="inlineStr">
        <is>
          <t>Себестоимость (TC), сом.</t>
        </is>
      </c>
      <c r="B5" s="5" t="n">
        <v>15050</v>
      </c>
      <c r="C5" s="5" t="n">
        <v>15050</v>
      </c>
      <c r="D5" s="5" t="n">
        <v>15050</v>
      </c>
      <c r="E5" s="7">
        <f>(B5-C5)/C5</f>
        <v>0.0</v>
      </c>
      <c r="F5" s="7">
        <f>(D5-C5)/C5</f>
        <v>0.0</v>
      </c>
      <c r="G5" s="4" t="inlineStr">
        <is>
          <t>Фиксировано</t>
        </is>
      </c>
    </row>
    <row r="6" ht="36" customHeight="1">
      <c r="A6" s="4" t="inlineStr">
        <is>
          <t>Прибыль на 1 га, сом.</t>
        </is>
      </c>
      <c r="B6" s="7">
        <f>B4-B5</f>
        <v>-2570.0</v>
      </c>
      <c r="C6" s="7">
        <f>C4-C5</f>
        <v>2950.0</v>
      </c>
      <c r="D6" s="7">
        <f>D4-D5</f>
        <v>7050.0</v>
      </c>
      <c r="E6" s="7">
        <f>(B6-C6)/C6</f>
        <v>-1.8711864406779661</v>
      </c>
      <c r="F6" s="7">
        <f>(D6-C6)/C6</f>
        <v>1.3898305084745763</v>
      </c>
      <c r="G6" s="4" t="inlineStr">
        <is>
          <t>ВЫСОКИЙ РИСК</t>
        </is>
      </c>
    </row>
    <row r="7" ht="36" customHeight="1">
      <c r="A7" s="4" t="inlineStr">
        <is>
          <t>Прибыль 1 350 га, сом.</t>
        </is>
      </c>
      <c r="B7" s="7">
        <f>B6*1350</f>
        <v>-3469500.0</v>
      </c>
      <c r="C7" s="7">
        <f>C6*1350</f>
        <v>3982500.0</v>
      </c>
      <c r="D7" s="7">
        <f>D6*1350</f>
        <v>9517500.0</v>
      </c>
      <c r="E7" s="7">
        <f>B7-C7</f>
        <v>-7452000.0</v>
      </c>
      <c r="F7" s="7">
        <f>D7-C7</f>
        <v>5535000.0</v>
      </c>
      <c r="G7" s="4" t="inlineStr">
        <is>
          <t>УБЫТОК В ПЕСС.</t>
        </is>
      </c>
    </row>
    <row r="10">
      <c r="A10" t="inlineStr">
        <is>
          <t>Пояснение</t>
        </is>
      </c>
    </row>
    <row r="11">
      <c r="A11" s="6" t="inlineStr">
        <is>
          <t>Для первых пяти строк отклонения — доли к базовому сценарию; для итоговой денежной строки — сомони. Исправлено смешение уровня результата и изменения результата.</t>
        </is>
      </c>
    </row>
    <row r="12"/>
    <row r="13"/>
  </sheetData>
  <autoFilter ref="A1:G7"/>
  <mergeCells count="1">
    <mergeCell ref="A11:G13"/>
  </mergeCells>
  <pageMargins left="0.75" right="0.75" top="1" bottom="1" header="0.5" footer="0.5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A (Параметр)</t>
        </is>
      </c>
      <c r="B1" s="3" t="inlineStr">
        <is>
          <t>B (Пессимистичный)</t>
        </is>
      </c>
      <c r="C1" s="3" t="inlineStr">
        <is>
          <t>C (Базовый)</t>
        </is>
      </c>
      <c r="D1" s="3" t="inlineStr">
        <is>
          <t>D (Оптимистичный)</t>
        </is>
      </c>
      <c r="E1" s="3" t="inlineStr">
        <is>
          <t>E (Отклонение Песс)</t>
        </is>
      </c>
      <c r="F1" s="3" t="inlineStr">
        <is>
          <t>F (Отклонение Опт)</t>
        </is>
      </c>
      <c r="G1" s="3" t="inlineStr">
        <is>
          <t>G (Оценка риска)</t>
        </is>
      </c>
    </row>
    <row r="2" ht="36" customHeight="1">
      <c r="A2" s="4" t="inlineStr">
        <is>
          <t>Урожайность, ц/га</t>
        </is>
      </c>
      <c r="B2" s="5" t="n">
        <v>24</v>
      </c>
      <c r="C2" s="5" t="n">
        <v>30</v>
      </c>
      <c r="D2" s="5" t="n">
        <v>34</v>
      </c>
      <c r="E2" s="7">
        <f>(B2-C2)/C2</f>
        <v>-0.2</v>
      </c>
      <c r="F2" s="7">
        <f>(D2-C2)/C2</f>
        <v>0.13333333333333333</v>
      </c>
      <c r="G2" s="4" t="inlineStr">
        <is>
          <t>Высокая чувствительность</t>
        </is>
      </c>
    </row>
    <row r="3" ht="36" customHeight="1">
      <c r="A3" s="4" t="inlineStr">
        <is>
          <t>Цена сырца, сом./ц</t>
        </is>
      </c>
      <c r="B3" s="5" t="n">
        <v>520</v>
      </c>
      <c r="C3" s="5" t="n">
        <v>600</v>
      </c>
      <c r="D3" s="5" t="n">
        <v>650</v>
      </c>
      <c r="E3" s="7">
        <f>(B3-C3)/C3</f>
        <v>-0.13333333333333333</v>
      </c>
      <c r="F3" s="7">
        <f>(D3-C3)/C3</f>
        <v>0.08333333333333333</v>
      </c>
      <c r="G3" s="4" t="inlineStr">
        <is>
          <t>Критический фактор</t>
        </is>
      </c>
    </row>
    <row r="4" ht="36" customHeight="1">
      <c r="A4" s="4" t="inlineStr">
        <is>
          <t>Выручка 1 га, сом.</t>
        </is>
      </c>
      <c r="B4" s="7">
        <f>B2*B3</f>
        <v>12480.0</v>
      </c>
      <c r="C4" s="7">
        <f>C2*C3</f>
        <v>18000.0</v>
      </c>
      <c r="D4" s="7">
        <f>D2*D3</f>
        <v>22100.0</v>
      </c>
      <c r="E4" s="7">
        <f>(B4-C4)/C4</f>
        <v>-0.30666666666666664</v>
      </c>
      <c r="F4" s="7">
        <f>(D4-C4)/C4</f>
        <v>0.22777777777777777</v>
      </c>
      <c r="G4" s="4" t="inlineStr">
        <is>
          <t>Волатильно</t>
        </is>
      </c>
    </row>
    <row r="5" ht="36" customHeight="1">
      <c r="A5" s="4" t="inlineStr">
        <is>
          <t>Себестоимость TC, сом.</t>
        </is>
      </c>
      <c r="B5" s="5" t="n">
        <v>15050</v>
      </c>
      <c r="C5" s="5" t="n">
        <v>15050</v>
      </c>
      <c r="D5" s="5" t="n">
        <v>15050</v>
      </c>
      <c r="E5" s="7">
        <f>(B5-C5)/C5</f>
        <v>0.0</v>
      </c>
      <c r="F5" s="7">
        <f>(D5-C5)/C5</f>
        <v>0.0</v>
      </c>
      <c r="G5" s="4" t="inlineStr">
        <is>
          <t>Базовый уровень</t>
        </is>
      </c>
    </row>
    <row r="6" ht="36" customHeight="1">
      <c r="A6" s="4" t="inlineStr">
        <is>
          <t>Прибыль на 1 га, сом.</t>
        </is>
      </c>
      <c r="B6" s="7">
        <f>B4-B5</f>
        <v>-2570.0</v>
      </c>
      <c r="C6" s="7">
        <f>C4-C5</f>
        <v>2950.0</v>
      </c>
      <c r="D6" s="7">
        <f>D4-D5</f>
        <v>7050.0</v>
      </c>
      <c r="E6" s="7">
        <f>(B6-C6)/C6</f>
        <v>-1.8711864406779661</v>
      </c>
      <c r="F6" s="7">
        <f>(D6-C6)/C6</f>
        <v>1.3898305084745763</v>
      </c>
      <c r="G6" s="4" t="inlineStr">
        <is>
          <t>КРИТИЧНО</t>
        </is>
      </c>
    </row>
    <row r="7" ht="36" customHeight="1">
      <c r="A7" s="4" t="inlineStr">
        <is>
          <t>Прибыль 1 350 га, сом.</t>
        </is>
      </c>
      <c r="B7" s="7">
        <f>B6*1350</f>
        <v>-3469500.0</v>
      </c>
      <c r="C7" s="7">
        <f>C6*1350</f>
        <v>3982500.0</v>
      </c>
      <c r="D7" s="7">
        <f>D6*1350</f>
        <v>9517500.0</v>
      </c>
      <c r="E7" s="7">
        <f>B7-C7</f>
        <v>-7452000.0</v>
      </c>
      <c r="F7" s="7">
        <f>D7-C7</f>
        <v>5535000.0</v>
      </c>
      <c r="G7" s="4" t="inlineStr">
        <is>
          <t>РИСК УБЫТКА</t>
        </is>
      </c>
    </row>
    <row r="10">
      <c r="A10" t="inlineStr">
        <is>
          <t>Пояснение</t>
        </is>
      </c>
    </row>
    <row r="11">
      <c r="A11" s="6" t="inlineStr">
        <is>
          <t>Для первых пяти строк отклонения — доли к базовому сценарию; для итоговой денежной строки — сомони. Исправлено смешение уровня результата и изменения результата.</t>
        </is>
      </c>
    </row>
    <row r="12"/>
    <row r="13"/>
  </sheetData>
  <autoFilter ref="A1:G7"/>
  <mergeCells count="1">
    <mergeCell ref="A11:G13"/>
  </mergeCells>
  <pageMargins left="0.75" right="0.75" top="1" bottom="1" header="0.5" footer="0.5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Вид удобрения</t>
        </is>
      </c>
      <c r="B1" s="3" t="inlineStr">
        <is>
          <t>Объём, тонн</t>
        </is>
      </c>
      <c r="C1" s="3" t="inlineStr">
        <is>
          <t>Цена контракта, сом./т</t>
        </is>
      </c>
      <c r="D1" s="3" t="inlineStr">
        <is>
          <t>Рыночная цена, сом./т</t>
        </is>
      </c>
      <c r="E1" s="3" t="inlineStr">
        <is>
          <t>Ценовое отклонение на 1 т, сом.</t>
        </is>
      </c>
      <c r="F1" s="3" t="inlineStr">
        <is>
          <t>Ценовое отклонение всего, сомони</t>
        </is>
      </c>
      <c r="G1" s="3" t="inlineStr">
        <is>
          <t>Отклонение / база, доля</t>
        </is>
      </c>
    </row>
    <row r="2" ht="36" customHeight="1">
      <c r="A2" s="4" t="inlineStr">
        <is>
          <t>Аммофос</t>
        </is>
      </c>
      <c r="B2" s="5" t="n">
        <v>96</v>
      </c>
      <c r="C2" s="5" t="n">
        <v>9915</v>
      </c>
      <c r="D2" s="5" t="n">
        <v>8278.6</v>
      </c>
      <c r="E2" s="5" t="n">
        <v>1636.4</v>
      </c>
      <c r="F2" s="5" t="n">
        <v>157094.4</v>
      </c>
      <c r="G2" s="5" t="n">
        <v>0.1976662720749885</v>
      </c>
    </row>
    <row r="3" ht="36" customHeight="1">
      <c r="A3" s="4" t="inlineStr">
        <is>
          <t>Аммиачная селитра</t>
        </is>
      </c>
      <c r="B3" s="5" t="n">
        <v>370</v>
      </c>
      <c r="C3" s="5" t="n">
        <v>4805</v>
      </c>
      <c r="D3" s="5" t="n">
        <v>4235</v>
      </c>
      <c r="E3" s="5" t="n">
        <v>570</v>
      </c>
      <c r="F3" s="5" t="n">
        <v>210900</v>
      </c>
      <c r="G3" s="5" t="n">
        <v>0.1345926800472255</v>
      </c>
    </row>
    <row r="4" ht="36" customHeight="1">
      <c r="A4" s="4" t="inlineStr">
        <is>
          <t>Карбамид</t>
        </is>
      </c>
      <c r="B4" s="5" t="n">
        <v>291</v>
      </c>
      <c r="C4" s="5" t="n">
        <v>6595</v>
      </c>
      <c r="D4" s="5" t="n">
        <v>5247</v>
      </c>
      <c r="E4" s="5" t="n">
        <v>1348</v>
      </c>
      <c r="F4" s="5" t="n">
        <v>392268</v>
      </c>
      <c r="G4" s="5" t="n">
        <v>0.2569087097388984</v>
      </c>
    </row>
    <row r="5" ht="36" customHeight="1">
      <c r="A5" s="4" t="inlineStr">
        <is>
          <t>ИТОГО</t>
        </is>
      </c>
      <c r="B5" s="5" t="n">
        <v>757</v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5" t="n">
        <v>760262.4</v>
      </c>
      <c r="G5" s="5" t="n">
        <v>0.1955119469802364</v>
      </c>
    </row>
    <row r="8">
      <c r="A8" t="inlineStr">
        <is>
          <t>Пояснение</t>
        </is>
      </c>
    </row>
    <row r="9">
      <c r="A9" s="6" t="inlineStr">
        <is>
          <t>Ценовое отклонение не доказывает откат. Сравнение требует одной даты, качества, валюты, доставки, налогов и условий оплаты. Надбавка 20% × месяцы/12 — упрощённая модель финансирования. Итоговый индекс взвешен по базовой стоимости закупок.</t>
        </is>
      </c>
    </row>
    <row r="10"/>
    <row r="11"/>
  </sheetData>
  <autoFilter ref="A1:G5"/>
  <mergeCells count="1">
    <mergeCell ref="A9:G11"/>
  </mergeCells>
  <pageMargins left="0.75" right="0.75" top="1" bottom="1" header="0.5" footer="0.5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(Ресурс)</t>
        </is>
      </c>
      <c r="B1" s="3" t="inlineStr">
        <is>
          <t>B (Объём, т)</t>
        </is>
      </c>
      <c r="C1" s="3" t="inlineStr">
        <is>
          <t>C (Цена контракта, сом)</t>
        </is>
      </c>
      <c r="D1" s="3" t="inlineStr">
        <is>
          <t>D (Рыночная цена, сом)</t>
        </is>
      </c>
      <c r="E1" s="3" t="inlineStr">
        <is>
          <t>E (Отсрочка, мес)</t>
        </is>
      </c>
      <c r="F1" s="3" t="inlineStr">
        <is>
          <t>F (Учебная надбавка за срок, доля)</t>
        </is>
      </c>
      <c r="G1" s="3" t="inlineStr">
        <is>
          <t>G (Ценовое отклонение на 1 т, сом)</t>
        </is>
      </c>
      <c r="H1" s="3" t="inlineStr">
        <is>
          <t>H (Сумма переплаты, сом)</t>
        </is>
      </c>
      <c r="I1" s="3" t="inlineStr">
        <is>
          <t>I (Статус риска)</t>
        </is>
      </c>
    </row>
    <row r="2" ht="36" customHeight="1">
      <c r="A2" s="4" t="inlineStr">
        <is>
          <t>Аммофос</t>
        </is>
      </c>
      <c r="B2" s="5" t="n">
        <v>96</v>
      </c>
      <c r="C2" s="5" t="n">
        <v>9915</v>
      </c>
      <c r="D2" s="5" t="n">
        <v>8278.6</v>
      </c>
      <c r="E2" s="5" t="n">
        <v>3</v>
      </c>
      <c r="F2" s="7">
        <f>20%*E2/12</f>
        <v>0.05000000000000001</v>
      </c>
      <c r="G2" s="7">
        <f>C2-D2*(1+F2)</f>
        <v>1222.4699999999993</v>
      </c>
      <c r="H2" s="7">
        <f>B2*G2</f>
        <v>117357.11999999994</v>
      </c>
      <c r="I2" s="4" t="inlineStr">
        <is>
          <t>Проверить сопоставимость условий</t>
        </is>
      </c>
    </row>
    <row r="3" ht="36" customHeight="1">
      <c r="A3" s="4" t="inlineStr">
        <is>
          <t>Селитра</t>
        </is>
      </c>
      <c r="B3" s="5" t="n">
        <v>370</v>
      </c>
      <c r="C3" s="5" t="n">
        <v>4805</v>
      </c>
      <c r="D3" s="5" t="n">
        <v>4235</v>
      </c>
      <c r="E3" s="5" t="n">
        <v>3</v>
      </c>
      <c r="F3" s="7">
        <f>20%*E3/12</f>
        <v>0.05000000000000001</v>
      </c>
      <c r="G3" s="7">
        <f>C3-D3*(1+F3)</f>
        <v>358.25</v>
      </c>
      <c r="H3" s="7">
        <f>B3*G3</f>
        <v>132552.5</v>
      </c>
      <c r="I3" s="4" t="inlineStr">
        <is>
          <t>Проверить сопоставимость условий</t>
        </is>
      </c>
    </row>
    <row r="4" ht="36" customHeight="1">
      <c r="A4" s="4" t="inlineStr">
        <is>
          <t>Карбамид</t>
        </is>
      </c>
      <c r="B4" s="5" t="n">
        <v>291</v>
      </c>
      <c r="C4" s="5" t="n">
        <v>6595</v>
      </c>
      <c r="D4" s="5" t="n">
        <v>5247</v>
      </c>
      <c r="E4" s="5" t="n">
        <v>3</v>
      </c>
      <c r="F4" s="7">
        <f>20%*E4/12</f>
        <v>0.05000000000000001</v>
      </c>
      <c r="G4" s="7">
        <f>C4-D4*(1+F4)</f>
        <v>1085.6499999999996</v>
      </c>
      <c r="H4" s="7">
        <f>B4*G4</f>
        <v>315924.1499999999</v>
      </c>
      <c r="I4" s="4" t="inlineStr">
        <is>
          <t>Проверить сопоставимость условий</t>
        </is>
      </c>
    </row>
    <row r="5" ht="36" customHeight="1">
      <c r="A5" s="4" t="inlineStr">
        <is>
          <t>ГСМ (ДТ)</t>
        </is>
      </c>
      <c r="B5" s="5" t="n">
        <v>45</v>
      </c>
      <c r="C5" s="5" t="n">
        <v>11500</v>
      </c>
      <c r="D5" s="5" t="n">
        <v>11000</v>
      </c>
      <c r="E5" s="5" t="n">
        <v>1</v>
      </c>
      <c r="F5" s="7">
        <f>20%*E5/12</f>
        <v>0.016666666666666666</v>
      </c>
      <c r="G5" s="7">
        <f>C5-D5*(1+F5)</f>
        <v>316.6666666666679</v>
      </c>
      <c r="H5" s="7">
        <f>B5*G5</f>
        <v>14250.000000000055</v>
      </c>
      <c r="I5" s="4" t="inlineStr">
        <is>
          <t>Проверить сопоставимость условий</t>
        </is>
      </c>
    </row>
    <row r="6" ht="36" customHeight="1">
      <c r="A6" s="4" t="inlineStr">
        <is>
          <t>ИТОГО</t>
        </is>
      </c>
      <c r="B6" s="5" t="n">
        <v>802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7">
        <f>SUM(H2:H5)</f>
        <v>580083.7699999999</v>
      </c>
      <c r="I6" s="4" t="inlineStr">
        <is>
          <t>ПРОВЕРКА</t>
        </is>
      </c>
    </row>
    <row r="9">
      <c r="A9" t="inlineStr">
        <is>
          <t>Пояснение</t>
        </is>
      </c>
    </row>
    <row r="10">
      <c r="A10" s="6" t="inlineStr">
        <is>
          <t>Ценовое отклонение не доказывает откат. Сравнение требует одной даты, качества, валюты, доставки, налогов и условий оплаты. Надбавка 20% × месяцы/12 — упрощённая модель финансирования. Итоговый индекс взвешен по базовой стоимости закупок.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(Ресурс)</t>
        </is>
      </c>
      <c r="B1" s="3" t="inlineStr">
        <is>
          <t>B (Объём, т)</t>
        </is>
      </c>
      <c r="C1" s="3" t="inlineStr">
        <is>
          <t>C (Цена контракта, сом)</t>
        </is>
      </c>
      <c r="D1" s="3" t="inlineStr">
        <is>
          <t>D (Рыночная цена, сом)</t>
        </is>
      </c>
      <c r="E1" s="3" t="inlineStr">
        <is>
          <t>E (Отсрочка, мес)</t>
        </is>
      </c>
      <c r="F1" s="3" t="inlineStr">
        <is>
          <t>F (Учебная надбавка за срок, доля)</t>
        </is>
      </c>
      <c r="G1" s="3" t="inlineStr">
        <is>
          <t>G (Ценовое отклонение/т, сом)</t>
        </is>
      </c>
      <c r="H1" s="3" t="inlineStr">
        <is>
          <t>H (Сумма переплаты, сом)</t>
        </is>
      </c>
      <c r="I1" s="3" t="inlineStr">
        <is>
          <t>I (Статус риска)</t>
        </is>
      </c>
    </row>
    <row r="2" ht="36" customHeight="1">
      <c r="A2" s="4" t="inlineStr">
        <is>
          <t>Аммофос</t>
        </is>
      </c>
      <c r="B2" s="5" t="n">
        <v>96</v>
      </c>
      <c r="C2" s="5" t="n">
        <v>9915</v>
      </c>
      <c r="D2" s="5" t="n">
        <v>8278.6</v>
      </c>
      <c r="E2" s="5" t="n">
        <v>3</v>
      </c>
      <c r="F2" s="7">
        <f>20%*E2/12</f>
        <v>0.05000000000000001</v>
      </c>
      <c r="G2" s="7">
        <f>C2-D2*(1+F2)</f>
        <v>1222.4699999999993</v>
      </c>
      <c r="H2" s="7">
        <f>B2*G2</f>
        <v>117357.11999999994</v>
      </c>
      <c r="I2" s="4" t="inlineStr">
        <is>
          <t>Проверить сопоставимость условий</t>
        </is>
      </c>
    </row>
    <row r="3" ht="36" customHeight="1">
      <c r="A3" s="4" t="inlineStr">
        <is>
          <t>Селитра</t>
        </is>
      </c>
      <c r="B3" s="5" t="n">
        <v>370</v>
      </c>
      <c r="C3" s="5" t="n">
        <v>4805</v>
      </c>
      <c r="D3" s="5" t="n">
        <v>4235</v>
      </c>
      <c r="E3" s="5" t="n">
        <v>3</v>
      </c>
      <c r="F3" s="7">
        <f>20%*E3/12</f>
        <v>0.05000000000000001</v>
      </c>
      <c r="G3" s="7">
        <f>C3-D3*(1+F3)</f>
        <v>358.25</v>
      </c>
      <c r="H3" s="7">
        <f>B3*G3</f>
        <v>132552.5</v>
      </c>
      <c r="I3" s="4" t="inlineStr">
        <is>
          <t>Проверить сопоставимость условий</t>
        </is>
      </c>
    </row>
    <row r="4" ht="36" customHeight="1">
      <c r="A4" s="4" t="inlineStr">
        <is>
          <t>Карбамид</t>
        </is>
      </c>
      <c r="B4" s="5" t="n">
        <v>291</v>
      </c>
      <c r="C4" s="5" t="n">
        <v>6595</v>
      </c>
      <c r="D4" s="5" t="n">
        <v>5247</v>
      </c>
      <c r="E4" s="5" t="n">
        <v>3</v>
      </c>
      <c r="F4" s="7">
        <f>20%*E4/12</f>
        <v>0.05000000000000001</v>
      </c>
      <c r="G4" s="7">
        <f>C4-D4*(1+F4)</f>
        <v>1085.6499999999996</v>
      </c>
      <c r="H4" s="7">
        <f>B4*G4</f>
        <v>315924.1499999999</v>
      </c>
      <c r="I4" s="4" t="inlineStr">
        <is>
          <t>Проверить сопоставимость условий</t>
        </is>
      </c>
    </row>
    <row r="5" ht="36" customHeight="1">
      <c r="A5" s="4" t="inlineStr">
        <is>
          <t>ГСМ (ДТ)</t>
        </is>
      </c>
      <c r="B5" s="5" t="n">
        <v>45</v>
      </c>
      <c r="C5" s="5" t="n">
        <v>11500</v>
      </c>
      <c r="D5" s="5" t="n">
        <v>11000</v>
      </c>
      <c r="E5" s="5" t="n">
        <v>1</v>
      </c>
      <c r="F5" s="7">
        <f>20%*E5/12</f>
        <v>0.016666666666666666</v>
      </c>
      <c r="G5" s="7">
        <f>C5-D5*(1+F5)</f>
        <v>316.6666666666679</v>
      </c>
      <c r="H5" s="7">
        <f>B5*G5</f>
        <v>14250.000000000055</v>
      </c>
      <c r="I5" s="4" t="inlineStr">
        <is>
          <t>Проверить сопоставимость условий</t>
        </is>
      </c>
    </row>
    <row r="6" ht="36" customHeight="1">
      <c r="A6" s="4" t="inlineStr">
        <is>
          <t>ИТОГО</t>
        </is>
      </c>
      <c r="B6" s="5" t="n">
        <v>802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7">
        <f>SUM(H2:H5)</f>
        <v>580083.7699999999</v>
      </c>
      <c r="I6" s="4" t="inlineStr">
        <is>
          <t>ПРОВЕРКА</t>
        </is>
      </c>
    </row>
    <row r="9">
      <c r="A9" t="inlineStr">
        <is>
          <t>Пояснение</t>
        </is>
      </c>
    </row>
    <row r="10">
      <c r="A10" s="6" t="inlineStr">
        <is>
          <t>Ценовое отклонение не доказывает откат. Сравнение требует одной даты, качества, валюты, доставки, налогов и условий оплаты. Надбавка 20% × месяцы/12 — упрощённая модель финансирования. Итоговый индекс взвешен по базовой стоимости закупок.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(Операция)</t>
        </is>
      </c>
      <c r="B1" s="3" t="inlineStr">
        <is>
          <t>B (Площадь, га)</t>
        </is>
      </c>
      <c r="C1" s="3" t="inlineStr">
        <is>
          <t>C (Объём по акту)</t>
        </is>
      </c>
      <c r="D1" s="3" t="inlineStr">
        <is>
          <t>D (Факт по GPS/замеру)</t>
        </is>
      </c>
      <c r="E1" s="3" t="inlineStr">
        <is>
          <t>E (Приписка, ед)</t>
        </is>
      </c>
      <c r="F1" s="3" t="inlineStr">
        <is>
          <t>F (Тариф/га, сом)</t>
        </is>
      </c>
      <c r="G1" s="3" t="inlineStr">
        <is>
          <t>G (Сценарная разница ФОТ/ГСМ, сом)</t>
        </is>
      </c>
      <c r="H1" s="3" t="inlineStr">
        <is>
          <t>H (Ущерб ТМЗ, сом)</t>
        </is>
      </c>
      <c r="I1" s="3" t="inlineStr">
        <is>
          <t>I (Суммарный ущерб, сом)</t>
        </is>
      </c>
    </row>
    <row r="2" ht="36" customHeight="1">
      <c r="A2" s="4" t="inlineStr">
        <is>
          <t>Культивация КРХ</t>
        </is>
      </c>
      <c r="B2" s="5" t="n">
        <v>1350</v>
      </c>
      <c r="C2" s="5" t="n">
        <v>6</v>
      </c>
      <c r="D2" s="5" t="n">
        <v>4</v>
      </c>
      <c r="E2" s="7">
        <f>C2-D2</f>
        <v>2.0</v>
      </c>
      <c r="F2" s="5" t="n">
        <v>78</v>
      </c>
      <c r="G2" s="7">
        <f>E2*F2*B2</f>
        <v>210600.0</v>
      </c>
      <c r="H2" s="5" t="n">
        <v>0</v>
      </c>
      <c r="I2" s="5" t="n">
        <v>210600</v>
      </c>
    </row>
    <row r="3" ht="36" customHeight="1">
      <c r="A3" s="4" t="inlineStr">
        <is>
          <t>Полив вегетационный</t>
        </is>
      </c>
      <c r="B3" s="5" t="n">
        <v>1350</v>
      </c>
      <c r="C3" s="5" t="n">
        <v>5</v>
      </c>
      <c r="D3" s="5" t="n">
        <v>3</v>
      </c>
      <c r="E3" s="7">
        <f>C3-D3</f>
        <v>2.0</v>
      </c>
      <c r="F3" s="5" t="n">
        <v>200</v>
      </c>
      <c r="G3" s="7">
        <f>E3*F3*B3</f>
        <v>540000.0</v>
      </c>
      <c r="H3" s="5" t="n">
        <v>0</v>
      </c>
      <c r="I3" s="5" t="n">
        <v>540000</v>
      </c>
    </row>
    <row r="4" ht="36" customHeight="1">
      <c r="A4" s="4" t="inlineStr">
        <is>
          <t>Опрыскивание ОВХ</t>
        </is>
      </c>
      <c r="B4" s="5" t="n">
        <v>1200</v>
      </c>
      <c r="C4" s="5" t="n">
        <v>6</v>
      </c>
      <c r="D4" s="5" t="n">
        <v>4</v>
      </c>
      <c r="E4" s="7">
        <f>C4-D4</f>
        <v>2.0</v>
      </c>
      <c r="F4" s="5" t="n">
        <v>65</v>
      </c>
      <c r="G4" s="7">
        <f>E4*F4*B4</f>
        <v>156000.0</v>
      </c>
      <c r="H4" s="5" t="n">
        <v>192000</v>
      </c>
      <c r="I4" s="5" t="n">
        <v>348000</v>
      </c>
    </row>
    <row r="5" ht="36" customHeight="1">
      <c r="A5" s="4" t="inlineStr">
        <is>
          <t>Мотыжение ручное</t>
        </is>
      </c>
      <c r="B5" s="5" t="n">
        <v>1000</v>
      </c>
      <c r="C5" s="5" t="n">
        <v>4</v>
      </c>
      <c r="D5" s="5" t="n">
        <v>3</v>
      </c>
      <c r="E5" s="7">
        <f>C5-D5</f>
        <v>1.0</v>
      </c>
      <c r="F5" s="5" t="n">
        <v>462</v>
      </c>
      <c r="G5" s="7">
        <f>E5*F5*B5</f>
        <v>462000.0</v>
      </c>
      <c r="H5" s="5" t="n">
        <v>0</v>
      </c>
      <c r="I5" s="5" t="n">
        <v>462000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SUM(G2:G5)</f>
        <v>1368600.0</v>
      </c>
      <c r="H6" s="7">
        <f>SUM(H2:H5)</f>
        <v>192000.0</v>
      </c>
      <c r="I6" s="7">
        <f>SUM(I2:I5)</f>
        <v>1560600.0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(Операция)</t>
        </is>
      </c>
      <c r="B1" s="3" t="inlineStr">
        <is>
          <t>B (Площадь, га)</t>
        </is>
      </c>
      <c r="C1" s="3" t="inlineStr">
        <is>
          <t>C (По акту, ед)</t>
        </is>
      </c>
      <c r="D1" s="3" t="inlineStr">
        <is>
          <t>D (Факт по GPS, ед)</t>
        </is>
      </c>
      <c r="E1" s="3" t="inlineStr">
        <is>
          <t>E (Приписка, ед)</t>
        </is>
      </c>
      <c r="F1" s="3" t="inlineStr">
        <is>
          <t>F (Тариф/га, сом)</t>
        </is>
      </c>
      <c r="G1" s="3" t="inlineStr">
        <is>
          <t>G (Сценарная разница ФОТ/ГСМ, сом)</t>
        </is>
      </c>
      <c r="H1" s="3" t="inlineStr">
        <is>
          <t>H (Ущерб ТМЗ, сом)</t>
        </is>
      </c>
      <c r="I1" s="3" t="inlineStr">
        <is>
          <t>I (Суммарный ущерб, сом)</t>
        </is>
      </c>
    </row>
    <row r="2" ht="36" customHeight="1">
      <c r="A2" s="4" t="inlineStr">
        <is>
          <t>Культивация КРХ</t>
        </is>
      </c>
      <c r="B2" s="5" t="n">
        <v>1350</v>
      </c>
      <c r="C2" s="5" t="n">
        <v>6</v>
      </c>
      <c r="D2" s="5" t="n">
        <v>4</v>
      </c>
      <c r="E2" s="7">
        <f>C2-D2</f>
        <v>2.0</v>
      </c>
      <c r="F2" s="5" t="n">
        <v>78</v>
      </c>
      <c r="G2" s="7">
        <f>E2*F2*B2</f>
        <v>210600.0</v>
      </c>
      <c r="H2" s="5" t="n">
        <v>0</v>
      </c>
      <c r="I2" s="7">
        <f>G2+H2</f>
        <v>210600.0</v>
      </c>
    </row>
    <row r="3" ht="36" customHeight="1">
      <c r="A3" s="4" t="inlineStr">
        <is>
          <t>Полив вегетационный</t>
        </is>
      </c>
      <c r="B3" s="5" t="n">
        <v>1350</v>
      </c>
      <c r="C3" s="5" t="n">
        <v>5</v>
      </c>
      <c r="D3" s="5" t="n">
        <v>3</v>
      </c>
      <c r="E3" s="7">
        <f>C3-D3</f>
        <v>2.0</v>
      </c>
      <c r="F3" s="5" t="n">
        <v>200</v>
      </c>
      <c r="G3" s="7">
        <f>E3*F3*B3</f>
        <v>540000.0</v>
      </c>
      <c r="H3" s="5" t="n">
        <v>0</v>
      </c>
      <c r="I3" s="7">
        <f>G3+H3</f>
        <v>540000.0</v>
      </c>
    </row>
    <row r="4" ht="36" customHeight="1">
      <c r="A4" s="4" t="inlineStr">
        <is>
          <t>Опрыскивание ОВХ</t>
        </is>
      </c>
      <c r="B4" s="5" t="n">
        <v>1200</v>
      </c>
      <c r="C4" s="5" t="n">
        <v>6</v>
      </c>
      <c r="D4" s="5" t="n">
        <v>4</v>
      </c>
      <c r="E4" s="7">
        <f>C4-D4</f>
        <v>2.0</v>
      </c>
      <c r="F4" s="5" t="n">
        <v>65</v>
      </c>
      <c r="G4" s="7">
        <f>E4*F4*B4</f>
        <v>156000.0</v>
      </c>
      <c r="H4" s="5" t="n">
        <v>192000</v>
      </c>
      <c r="I4" s="7">
        <f>G4+H4</f>
        <v>348000.0</v>
      </c>
    </row>
    <row r="5" ht="36" customHeight="1">
      <c r="A5" s="4" t="inlineStr">
        <is>
          <t>Мотыжение ручное</t>
        </is>
      </c>
      <c r="B5" s="5" t="n">
        <v>1000</v>
      </c>
      <c r="C5" s="5" t="n">
        <v>4</v>
      </c>
      <c r="D5" s="5" t="n">
        <v>3</v>
      </c>
      <c r="E5" s="7">
        <f>C5-D5</f>
        <v>1.0</v>
      </c>
      <c r="F5" s="5" t="n">
        <v>462</v>
      </c>
      <c r="G5" s="7">
        <f>E5*F5*B5</f>
        <v>462000.0</v>
      </c>
      <c r="H5" s="5" t="n">
        <v>0</v>
      </c>
      <c r="I5" s="7">
        <f>G5+H5</f>
        <v>462000.0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SUM(G2:G5)</f>
        <v>1368600.0</v>
      </c>
      <c r="H6" s="7">
        <f>SUM(H2:H5)</f>
        <v>192000.0</v>
      </c>
      <c r="I6" s="7">
        <f>SUM(I2:I5)</f>
        <v>1560600.0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№</t>
        </is>
      </c>
      <c r="B1" s="3" t="inlineStr">
        <is>
          <t>Выявленная проблема / Находка</t>
        </is>
      </c>
      <c r="C1" s="3" t="inlineStr">
        <is>
          <t>Суть риска</t>
        </is>
      </c>
      <c r="D1" s="3" t="inlineStr">
        <is>
          <t>Финансовый эффект / Ущерб</t>
        </is>
      </c>
    </row>
    <row r="2" ht="36" customHeight="1">
      <c r="A2" s="5" t="n">
        <v>1</v>
      </c>
      <c r="B2" s="4" t="inlineStr">
        <is>
          <t>Путевые листы пустые (не заполняются)</t>
        </is>
      </c>
      <c r="C2" s="4" t="inlineStr">
        <is>
          <t>Цепочка разорвана: талон выдан, а маршрута и пробега нет.</t>
        </is>
      </c>
      <c r="D2" s="4" t="inlineStr">
        <is>
          <t>Любой объем — свободный слив ГСМ.</t>
        </is>
      </c>
    </row>
    <row r="3" ht="36" customHeight="1">
      <c r="A3" s="5" t="n">
        <v>2</v>
      </c>
      <c r="B3" s="4" t="inlineStr">
        <is>
          <t>337 талонов без цены и подписи заправщика</t>
        </is>
      </c>
      <c r="C3" s="4" t="inlineStr">
        <is>
          <t>Заправщик не подтвердил заправку; цену можно «округлить».</t>
        </is>
      </c>
      <c r="D3" s="4" t="inlineStr">
        <is>
          <t>Риск подмены сумм задним числом.</t>
        </is>
      </c>
    </row>
    <row r="4" ht="36" customHeight="1">
      <c r="A4" s="5" t="n">
        <v>3</v>
      </c>
      <c r="B4" s="4" t="inlineStr">
        <is>
          <t>Один гос. номер 69-32 на 2 человек</t>
        </is>
      </c>
      <c r="C4" s="4" t="inlineStr">
        <is>
          <t>Записан на экономиста Сотрудник 20 СБ Сотрудник 1629</t>
        </is>
      </c>
      <c r="D4" s="4" t="inlineStr">
        <is>
          <t>Потенциальный двойной списание топлива.</t>
        </is>
      </c>
    </row>
    <row r="5" ht="36" customHeight="1">
      <c r="A5" s="5" t="n">
        <v>4</v>
      </c>
      <c r="B5" s="4" t="inlineStr">
        <is>
          <t>8 человек СБ получают 120 л/неделю</t>
        </is>
      </c>
      <c r="C5" s="4" t="inlineStr">
        <is>
          <t>28% бюджета бензина уходит СБ без маршрутных листов.</t>
        </is>
      </c>
      <c r="D5" s="4" t="inlineStr">
        <is>
          <t>68 640 сомони в год без обоснования.</t>
        </is>
      </c>
    </row>
    <row r="6" ht="36" customHeight="1">
      <c r="A6" s="5" t="n">
        <v>5</v>
      </c>
      <c r="B6" s="4" t="inlineStr">
        <is>
          <t>Renault СБ — норма 30 л/100 км!1330</t>
        </is>
      </c>
      <c r="C6" s="4" t="inlineStr">
        <is>
          <t>Паспортный расход 7–8 л/100 км; норма завышена в 4 раза.</t>
        </is>
      </c>
      <c r="D6" s="4" t="inlineStr">
        <is>
          <t>~30 360 сомони в год с 1 машины!</t>
        </is>
      </c>
    </row>
    <row r="7" ht="36" customHeight="1">
      <c r="A7" s="5" t="n">
        <v>6</v>
      </c>
      <c r="B7" s="4" t="inlineStr">
        <is>
          <t>Дизель тракторов не учитывается вообще!32</t>
        </is>
      </c>
      <c r="C7" s="4" t="inlineStr">
        <is>
          <t>В файле только бензин легковых (430 л/нед), дизель пропущен.</t>
        </is>
      </c>
      <c r="D7" s="4" t="inlineStr">
        <is>
          <t>Миллионы сомони выпадают из контроля.</t>
        </is>
      </c>
    </row>
    <row r="10">
      <c r="A10" t="inlineStr">
        <is>
          <t>Пояснение</t>
        </is>
      </c>
    </row>
    <row r="11">
      <c r="A11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2"/>
    <row r="13"/>
  </sheetData>
  <autoFilter ref="A1:D7"/>
  <mergeCells count="1">
    <mergeCell ref="A11:D13"/>
  </mergeCells>
  <pageMargins left="0.75" right="0.75" top="1" bottom="1" header="0.5" footer="0.5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(Машина/Операция)</t>
        </is>
      </c>
      <c r="B1" s="3" t="inlineStr">
        <is>
          <t>B (Объём га/км)</t>
        </is>
      </c>
      <c r="C1" s="3" t="inlineStr">
        <is>
          <t>C (Норма паспорт, л)</t>
        </is>
      </c>
      <c r="D1" s="3" t="inlineStr">
        <is>
          <t>D (Норма факт/акт, л)</t>
        </is>
      </c>
      <c r="E1" s="3" t="inlineStr">
        <is>
          <t>E (Списано ГСМ, л)</t>
        </is>
      </c>
      <c r="F1" s="3" t="inlineStr">
        <is>
          <t>F (Норматив по GPS, л)</t>
        </is>
      </c>
      <c r="G1" s="3" t="inlineStr">
        <is>
          <t>G (Перерасход/Слив, л)</t>
        </is>
      </c>
      <c r="H1" s="3" t="inlineStr">
        <is>
          <t>H (Цена, сом/л)</t>
        </is>
      </c>
      <c r="I1" s="3" t="inlineStr">
        <is>
          <t>I (Оценка расхождения, сом)</t>
        </is>
      </c>
    </row>
    <row r="2" ht="36" customHeight="1">
      <c r="A2" s="4" t="inlineStr">
        <is>
          <t>Вспашка (Беларус)</t>
        </is>
      </c>
      <c r="B2" s="5" t="n">
        <v>1350</v>
      </c>
      <c r="C2" s="5" t="n">
        <v>28</v>
      </c>
      <c r="D2" s="5" t="n">
        <v>32</v>
      </c>
      <c r="E2" s="7">
        <f>B2*D2</f>
        <v>43200.0</v>
      </c>
      <c r="F2" s="7">
        <f>B2*C2</f>
        <v>37800.0</v>
      </c>
      <c r="G2" s="7">
        <f>E2-F2</f>
        <v>5400.0</v>
      </c>
      <c r="H2" s="5" t="n">
        <v>11</v>
      </c>
      <c r="I2" s="7">
        <f>G2*H2</f>
        <v>59400.0</v>
      </c>
    </row>
    <row r="3" ht="36" customHeight="1">
      <c r="A3" s="4" t="inlineStr">
        <is>
          <t>Культивация (МТЗ)</t>
        </is>
      </c>
      <c r="B3" s="5" t="n">
        <v>1350</v>
      </c>
      <c r="C3" s="5" t="n">
        <v>6</v>
      </c>
      <c r="D3" s="5" t="n">
        <v>8</v>
      </c>
      <c r="E3" s="7">
        <f>B3*D3</f>
        <v>10800.0</v>
      </c>
      <c r="F3" s="7">
        <f>B3*C3</f>
        <v>8100.0</v>
      </c>
      <c r="G3" s="7">
        <f>E3-F3</f>
        <v>2700.0</v>
      </c>
      <c r="H3" s="5" t="n">
        <v>11</v>
      </c>
      <c r="I3" s="7">
        <f>G3*H3</f>
        <v>29700.0</v>
      </c>
    </row>
    <row r="4" ht="36" customHeight="1">
      <c r="A4" s="4" t="inlineStr">
        <is>
          <t>Renault (Сотрудник 11 СБ)</t>
        </is>
      </c>
      <c r="B4" s="5" t="n">
        <v>12000</v>
      </c>
      <c r="C4" s="5" t="n">
        <v>0.08</v>
      </c>
      <c r="D4" s="5" t="n">
        <v>0.3</v>
      </c>
      <c r="E4" s="7">
        <f>B4*D4</f>
        <v>3600.0</v>
      </c>
      <c r="F4" s="7">
        <f>B4*C4</f>
        <v>960.0</v>
      </c>
      <c r="G4" s="7">
        <f>E4-F4</f>
        <v>2640.0</v>
      </c>
      <c r="H4" s="5" t="n">
        <v>11</v>
      </c>
      <c r="I4" s="7">
        <f>G4*H4</f>
        <v>29040.0</v>
      </c>
    </row>
    <row r="5" ht="36" customHeight="1">
      <c r="A5" s="4" t="inlineStr">
        <is>
          <t>Camry (Сотрудник 13 СБ)</t>
        </is>
      </c>
      <c r="B5" s="5" t="n">
        <v>10000</v>
      </c>
      <c r="C5" s="5" t="n">
        <v>0.1</v>
      </c>
      <c r="D5" s="5" t="n">
        <v>0.2</v>
      </c>
      <c r="E5" s="7">
        <f>B5*D5</f>
        <v>2000.0</v>
      </c>
      <c r="F5" s="7">
        <f>B5*C5</f>
        <v>1000.0</v>
      </c>
      <c r="G5" s="7">
        <f>E5-F5</f>
        <v>1000.0</v>
      </c>
      <c r="H5" s="5" t="n">
        <v>11</v>
      </c>
      <c r="I5" s="7">
        <f>G5*H5</f>
        <v>11000.0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7">
        <f>SUM(E2:E5)</f>
        <v>59600.0</v>
      </c>
      <c r="F6" s="7">
        <f>SUM(F2:F5)</f>
        <v>47860.0</v>
      </c>
      <c r="G6" s="7">
        <f>SUM(G2:G5)</f>
        <v>11740.0</v>
      </c>
      <c r="H6" s="4" t="inlineStr">
        <is>
          <t>—</t>
        </is>
      </c>
      <c r="I6" s="7">
        <f>SUM(I2:I5)</f>
        <v>129140.0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(Машина/Операция)</t>
        </is>
      </c>
      <c r="B1" s="3" t="inlineStr">
        <is>
          <t>B (Объём)</t>
        </is>
      </c>
      <c r="C1" s="3" t="inlineStr">
        <is>
          <t>C (Норма паспорт)</t>
        </is>
      </c>
      <c r="D1" s="3" t="inlineStr">
        <is>
          <t>D (Норма факт)</t>
        </is>
      </c>
      <c r="E1" s="3" t="inlineStr">
        <is>
          <t>E (Списано ГСМ, л)</t>
        </is>
      </c>
      <c r="F1" s="3" t="inlineStr">
        <is>
          <t>F (Норматив GPS, л)</t>
        </is>
      </c>
      <c r="G1" s="3" t="inlineStr">
        <is>
          <t>G (Слив, л)</t>
        </is>
      </c>
      <c r="H1" s="3" t="inlineStr">
        <is>
          <t>H (Цена, сом)</t>
        </is>
      </c>
      <c r="I1" s="3" t="inlineStr">
        <is>
          <t>I (Оценка расхождения, сом)</t>
        </is>
      </c>
    </row>
    <row r="2" ht="36" customHeight="1">
      <c r="A2" s="4" t="inlineStr">
        <is>
          <t>Вспашка (Беларус)</t>
        </is>
      </c>
      <c r="B2" s="5" t="n">
        <v>1350</v>
      </c>
      <c r="C2" s="5" t="n">
        <v>28</v>
      </c>
      <c r="D2" s="5" t="n">
        <v>32</v>
      </c>
      <c r="E2" s="7">
        <f>B2*D2</f>
        <v>43200.0</v>
      </c>
      <c r="F2" s="7">
        <f>B2*C2</f>
        <v>37800.0</v>
      </c>
      <c r="G2" s="7">
        <f>E2-F2</f>
        <v>5400.0</v>
      </c>
      <c r="H2" s="5" t="n">
        <v>11</v>
      </c>
      <c r="I2" s="7">
        <f>G2*H2</f>
        <v>59400.0</v>
      </c>
    </row>
    <row r="3" ht="36" customHeight="1">
      <c r="A3" s="4" t="inlineStr">
        <is>
          <t>Культивация (МТЗ)</t>
        </is>
      </c>
      <c r="B3" s="5" t="n">
        <v>1350</v>
      </c>
      <c r="C3" s="5" t="n">
        <v>6</v>
      </c>
      <c r="D3" s="5" t="n">
        <v>8</v>
      </c>
      <c r="E3" s="7">
        <f>B3*D3</f>
        <v>10800.0</v>
      </c>
      <c r="F3" s="7">
        <f>B3*C3</f>
        <v>8100.0</v>
      </c>
      <c r="G3" s="7">
        <f>E3-F3</f>
        <v>2700.0</v>
      </c>
      <c r="H3" s="5" t="n">
        <v>11</v>
      </c>
      <c r="I3" s="7">
        <f>G3*H3</f>
        <v>29700.0</v>
      </c>
    </row>
    <row r="4" ht="36" customHeight="1">
      <c r="A4" s="4" t="inlineStr">
        <is>
          <t>Renault (Сотрудник 11 СБ)</t>
        </is>
      </c>
      <c r="B4" s="5" t="n">
        <v>12000</v>
      </c>
      <c r="C4" s="5" t="n">
        <v>0.08</v>
      </c>
      <c r="D4" s="5" t="n">
        <v>0.3</v>
      </c>
      <c r="E4" s="7">
        <f>B4*D4</f>
        <v>3600.0</v>
      </c>
      <c r="F4" s="7">
        <f>B4*C4</f>
        <v>960.0</v>
      </c>
      <c r="G4" s="7">
        <f>E4-F4</f>
        <v>2640.0</v>
      </c>
      <c r="H4" s="5" t="n">
        <v>11</v>
      </c>
      <c r="I4" s="7">
        <f>G4*H4</f>
        <v>29040.0</v>
      </c>
    </row>
    <row r="5" ht="36" customHeight="1">
      <c r="A5" s="4" t="inlineStr">
        <is>
          <t>Camry (Сотрудник 13 СБ)</t>
        </is>
      </c>
      <c r="B5" s="5" t="n">
        <v>10000</v>
      </c>
      <c r="C5" s="5" t="n">
        <v>0.1</v>
      </c>
      <c r="D5" s="5" t="n">
        <v>0.2</v>
      </c>
      <c r="E5" s="7">
        <f>B5*D5</f>
        <v>2000.0</v>
      </c>
      <c r="F5" s="7">
        <f>B5*C5</f>
        <v>1000.0</v>
      </c>
      <c r="G5" s="7">
        <f>E5-F5</f>
        <v>1000.0</v>
      </c>
      <c r="H5" s="5" t="n">
        <v>11</v>
      </c>
      <c r="I5" s="7">
        <f>G5*H5</f>
        <v>11000.0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7">
        <f>SUM(E2:E5)</f>
        <v>59600.0</v>
      </c>
      <c r="F6" s="7">
        <f>SUM(F2:F5)</f>
        <v>47860.0</v>
      </c>
      <c r="G6" s="7">
        <f>SUM(G2:G5)</f>
        <v>11740.0</v>
      </c>
      <c r="H6" s="4" t="inlineStr">
        <is>
          <t>—</t>
        </is>
      </c>
      <c r="I6" s="7">
        <f>SUM(I2:I5)</f>
        <v>129140.0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Число признаков в полной анкете</t>
        </is>
      </c>
      <c r="B1" s="3" t="inlineStr">
        <is>
          <t>Учебная категория</t>
        </is>
      </c>
      <c r="C1" s="3" t="inlineStr">
        <is>
          <t>Следующий шаг</t>
        </is>
      </c>
    </row>
    <row r="2" ht="36" customHeight="1">
      <c r="A2" s="4" t="inlineStr">
        <is>
          <t>10 и более</t>
        </is>
      </c>
      <c r="B2" s="4" t="inlineStr">
        <is>
          <t>Расширенная проверка</t>
        </is>
      </c>
      <c r="C2" s="4" t="inlineStr">
        <is>
          <t>Сверка независимых документов и условий</t>
        </is>
      </c>
    </row>
    <row r="3" ht="36" customHeight="1">
      <c r="A3" s="4" t="inlineStr">
        <is>
          <t>5–9</t>
        </is>
      </c>
      <c r="B3" s="4" t="inlineStr">
        <is>
          <t>Дополнительная проверка</t>
        </is>
      </c>
      <c r="C3" s="4" t="inlineStr">
        <is>
          <t>Уточнить признаки и меры снижения риска</t>
        </is>
      </c>
    </row>
    <row r="4" ht="36" customHeight="1">
      <c r="A4" s="4" t="inlineStr">
        <is>
          <t>Менее 5</t>
        </is>
      </c>
      <c r="B4" s="4" t="inlineStr">
        <is>
          <t>Мало сигналов в этой анкете</t>
        </is>
      </c>
      <c r="C4" s="4" t="inlineStr">
        <is>
          <t>Обычная проверка; автоматического разрешения нет</t>
        </is>
      </c>
    </row>
    <row r="7">
      <c r="A7" t="inlineStr">
        <is>
          <t>Пояснение</t>
        </is>
      </c>
    </row>
    <row r="8">
      <c r="A8" s="6" t="inlineStr">
        <is>
          <t>ПР 400-ОД рассматривается как условное название внутреннего регламента. Пороги 5/10 — учебные, не закон и не проверенная скоринговая модель. Низкий счёт не подтверждает благонадёжность; учитывайте полноту анкеты.</t>
        </is>
      </c>
    </row>
    <row r="9"/>
    <row r="10"/>
  </sheetData>
  <autoFilter ref="A1:C4"/>
  <mergeCells count="1">
    <mergeCell ref="A8:C10"/>
  </mergeCells>
  <pageMargins left="0.75" right="0.75" top="1" bottom="1" header="0.5" footer="0.5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(Контрагент)</t>
        </is>
      </c>
      <c r="B1" s="3" t="inlineStr">
        <is>
          <t>B (Ресурс)</t>
        </is>
      </c>
      <c r="C1" s="3" t="inlineStr">
        <is>
          <t>C (Возраст, мес)</t>
        </is>
      </c>
      <c r="D1" s="3" t="inlineStr">
        <is>
          <t>D (Цена контракта)</t>
        </is>
      </c>
      <c r="E1" s="3" t="inlineStr">
        <is>
          <t>E (Цена завода)</t>
        </is>
      </c>
      <c r="F1" s="3" t="inlineStr">
        <is>
          <t>F (Наценка, %)</t>
        </is>
      </c>
      <c r="G1" s="3" t="inlineStr">
        <is>
          <t>G (Совпадение контактов)</t>
        </is>
      </c>
      <c r="H1" s="3" t="inlineStr">
        <is>
          <t>H (Признаки риска, ед)</t>
        </is>
      </c>
      <c r="I1" s="3" t="inlineStr">
        <is>
          <t>I (Зона риска)</t>
        </is>
      </c>
      <c r="J1" s="3" t="inlineStr">
        <is>
          <t>J (Решение)</t>
        </is>
      </c>
    </row>
    <row r="2" ht="36" customHeight="1">
      <c r="A2" s="4" t="inlineStr">
        <is>
          <t>учебная организация «Контрагент 2D05»</t>
        </is>
      </c>
      <c r="B2" s="4" t="inlineStr">
        <is>
          <t>Удобрения</t>
        </is>
      </c>
      <c r="C2" s="5" t="n">
        <v>3</v>
      </c>
      <c r="D2" s="5" t="n">
        <v>6595</v>
      </c>
      <c r="E2" s="5" t="n">
        <v>5247</v>
      </c>
      <c r="F2" s="8">
        <f>(D2-E2)/E2</f>
        <v>0.2569087097388984</v>
      </c>
      <c r="G2" s="4" t="inlineStr">
        <is>
          <t>ДА (телефон СБ)</t>
        </is>
      </c>
      <c r="H2" s="5" t="n">
        <v>11</v>
      </c>
      <c r="I2" s="7" t="str">
        <f>IF(H2&gt;=10,"РАСШИРЕННАЯ ПРОВЕРКА",IF(H2&gt;=5,"ДОПОЛНИТЕЛЬНАЯ ПРОВЕРКА","ОБЫЧНАЯ ПРОВЕРКА"))</f>
        <v>РАСШИРЕННАЯ ПРОВЕРКА</v>
      </c>
      <c r="J2" s="4" t="inlineStr">
        <is>
          <t>Решение по результатам проверки</t>
        </is>
      </c>
    </row>
    <row r="3" ht="36" customHeight="1">
      <c r="A3" s="4" t="inlineStr">
        <is>
          <t>учебная организация «Контрагент B640»</t>
        </is>
      </c>
      <c r="B3" s="4" t="inlineStr">
        <is>
          <t>Семена</t>
        </is>
      </c>
      <c r="C3" s="5" t="n">
        <v>48</v>
      </c>
      <c r="D3" s="5" t="n">
        <v>39</v>
      </c>
      <c r="E3" s="5" t="n">
        <v>39</v>
      </c>
      <c r="F3" s="8">
        <f>(D3-E3)/E3</f>
        <v>0.0</v>
      </c>
      <c r="G3" s="4" t="inlineStr">
        <is>
          <t>НЕТ</t>
        </is>
      </c>
      <c r="H3" s="5" t="n">
        <v>2</v>
      </c>
      <c r="I3" s="7" t="str">
        <f>IF(H3&gt;=10,"РАСШИРЕННАЯ ПРОВЕРКА",IF(H3&gt;=5,"ДОПОЛНИТЕЛЬНАЯ ПРОВЕРКА","ОБЫЧНАЯ ПРОВЕРКА"))</f>
        <v>ОБЫЧНАЯ ПРОВЕРКА</v>
      </c>
      <c r="J3" s="4" t="inlineStr">
        <is>
          <t>Решение по результатам проверки</t>
        </is>
      </c>
    </row>
    <row r="4" ht="36" customHeight="1">
      <c r="A4" s="4" t="inlineStr">
        <is>
          <t>учебная организация «Контрагент 3DF9»</t>
        </is>
      </c>
      <c r="B4" s="4" t="inlineStr">
        <is>
          <t>ГСМ</t>
        </is>
      </c>
      <c r="C4" s="5" t="n">
        <v>120</v>
      </c>
      <c r="D4" s="5" t="n">
        <v>11000</v>
      </c>
      <c r="E4" s="5" t="n">
        <v>11000</v>
      </c>
      <c r="F4" s="8">
        <f>(D4-E4)/E4</f>
        <v>0.0</v>
      </c>
      <c r="G4" s="4" t="inlineStr">
        <is>
          <t>НЕТ</t>
        </is>
      </c>
      <c r="H4" s="5" t="n">
        <v>1</v>
      </c>
      <c r="I4" s="7" t="str">
        <f>IF(H4&gt;=10,"РАСШИРЕННАЯ ПРОВЕРКА",IF(H4&gt;=5,"ДОПОЛНИТЕЛЬНАЯ ПРОВЕРКА","ОБЫЧНАЯ ПРОВЕРКА"))</f>
        <v>ОБЫЧНАЯ ПРОВЕРКА</v>
      </c>
      <c r="J4" s="4" t="inlineStr">
        <is>
          <t>Решение по результатам проверки</t>
        </is>
      </c>
    </row>
    <row r="5" ht="36" customHeight="1">
      <c r="A5" s="4" t="inlineStr">
        <is>
          <t>ИП «Сотрудник 24»</t>
        </is>
      </c>
      <c r="B5" s="4" t="inlineStr">
        <is>
          <t>Запчасти</t>
        </is>
      </c>
      <c r="C5" s="5" t="n">
        <v>1</v>
      </c>
      <c r="D5" s="5" t="n">
        <v>15000</v>
      </c>
      <c r="E5" s="5" t="n">
        <v>11000</v>
      </c>
      <c r="F5" s="8">
        <f>(D5-E5)/E5</f>
        <v>0.36363636363636365</v>
      </c>
      <c r="G5" s="4" t="inlineStr">
        <is>
          <t>ДА (родственник)</t>
        </is>
      </c>
      <c r="H5" s="5" t="n">
        <v>12</v>
      </c>
      <c r="I5" s="7" t="str">
        <f>IF(H5&gt;=10,"РАСШИРЕННАЯ ПРОВЕРКА",IF(H5&gt;=5,"ДОПОЛНИТЕЛЬНАЯ ПРОВЕРКА","ОБЫЧНАЯ ПРОВЕРКА"))</f>
        <v>РАСШИРЕННАЯ ПРОВЕРКА</v>
      </c>
      <c r="J5" s="4" t="inlineStr">
        <is>
          <t>Решение по результатам проверки</t>
        </is>
      </c>
    </row>
    <row r="6" ht="36" customHeight="1">
      <c r="A6" s="4" t="inlineStr">
        <is>
          <t>ИТОГО/СРЕДНЕЕ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8">
        <f>AVERAGE(F2:F5)</f>
        <v>0.1551362683438155</v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ПР 400-ОД рассматривается как условное название внутреннего регламента. Пороги 5/10 — учебные, не закон и не проверенная скоринговая модель. Низкий счёт не подтверждает благонадёжность; учитывайте полноту анкеты.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(Контрагент)</t>
        </is>
      </c>
      <c r="B1" s="3" t="inlineStr">
        <is>
          <t>B (Ресурс)</t>
        </is>
      </c>
      <c r="C1" s="3" t="inlineStr">
        <is>
          <t>C (Возраст)</t>
        </is>
      </c>
      <c r="D1" s="3" t="inlineStr">
        <is>
          <t>D (Цена контракта)</t>
        </is>
      </c>
      <c r="E1" s="3" t="inlineStr">
        <is>
          <t>E (Цена завода)</t>
        </is>
      </c>
      <c r="F1" s="3" t="inlineStr">
        <is>
          <t>F (Наценка, %)</t>
        </is>
      </c>
      <c r="G1" s="3" t="inlineStr">
        <is>
          <t>G (Совпадение контактов)</t>
        </is>
      </c>
      <c r="H1" s="3" t="inlineStr">
        <is>
          <t>H (Признаки)</t>
        </is>
      </c>
      <c r="I1" s="3" t="inlineStr">
        <is>
          <t>I (Зона риска)</t>
        </is>
      </c>
      <c r="J1" s="3" t="inlineStr">
        <is>
          <t>J (Решение)</t>
        </is>
      </c>
    </row>
    <row r="2" ht="36" customHeight="1">
      <c r="A2" s="4" t="inlineStr">
        <is>
          <t>учебная организация «Контрагент 2D05»</t>
        </is>
      </c>
      <c r="B2" s="4" t="inlineStr">
        <is>
          <t>Удобрения</t>
        </is>
      </c>
      <c r="C2" s="5" t="n">
        <v>3</v>
      </c>
      <c r="D2" s="5" t="n">
        <v>6595</v>
      </c>
      <c r="E2" s="5" t="n">
        <v>5247</v>
      </c>
      <c r="F2" s="8">
        <f>(D2-E2)/E2</f>
        <v>0.2569087097388984</v>
      </c>
      <c r="G2" s="4" t="inlineStr">
        <is>
          <t>ДА</t>
        </is>
      </c>
      <c r="H2" s="5" t="n">
        <v>11</v>
      </c>
      <c r="I2" s="7" t="str">
        <f>IF(H2&gt;=10,"РАСШИРЕННАЯ ПРОВЕРКА",IF(H2&gt;=5,"ДОПОЛНИТЕЛЬНАЯ ПРОВЕРКА","ОБЫЧНАЯ ПРОВЕРКА"))</f>
        <v>РАСШИРЕННАЯ ПРОВЕРКА</v>
      </c>
      <c r="J2" s="4" t="inlineStr">
        <is>
          <t>Решение по результатам проверки</t>
        </is>
      </c>
    </row>
    <row r="3" ht="36" customHeight="1">
      <c r="A3" s="4" t="inlineStr">
        <is>
          <t>учебная организация «Контрагент B640»</t>
        </is>
      </c>
      <c r="B3" s="4" t="inlineStr">
        <is>
          <t>Семена</t>
        </is>
      </c>
      <c r="C3" s="5" t="n">
        <v>48</v>
      </c>
      <c r="D3" s="5" t="n">
        <v>39</v>
      </c>
      <c r="E3" s="5" t="n">
        <v>39</v>
      </c>
      <c r="F3" s="8">
        <f>(D3-E3)/E3</f>
        <v>0.0</v>
      </c>
      <c r="G3" s="4" t="inlineStr">
        <is>
          <t>НЕТ</t>
        </is>
      </c>
      <c r="H3" s="5" t="n">
        <v>2</v>
      </c>
      <c r="I3" s="7" t="str">
        <f>IF(H3&gt;=10,"РАСШИРЕННАЯ ПРОВЕРКА",IF(H3&gt;=5,"ДОПОЛНИТЕЛЬНАЯ ПРОВЕРКА","ОБЫЧНАЯ ПРОВЕРКА"))</f>
        <v>ОБЫЧНАЯ ПРОВЕРКА</v>
      </c>
      <c r="J3" s="4" t="inlineStr">
        <is>
          <t>Решение по результатам проверки</t>
        </is>
      </c>
    </row>
    <row r="4" ht="36" customHeight="1">
      <c r="A4" s="4" t="inlineStr">
        <is>
          <t>учебная организация «Контрагент 3DF9»</t>
        </is>
      </c>
      <c r="B4" s="4" t="inlineStr">
        <is>
          <t>ГСМ</t>
        </is>
      </c>
      <c r="C4" s="5" t="n">
        <v>120</v>
      </c>
      <c r="D4" s="5" t="n">
        <v>11000</v>
      </c>
      <c r="E4" s="5" t="n">
        <v>11000</v>
      </c>
      <c r="F4" s="8">
        <f>(D4-E4)/E4</f>
        <v>0.0</v>
      </c>
      <c r="G4" s="4" t="inlineStr">
        <is>
          <t>НЕТ</t>
        </is>
      </c>
      <c r="H4" s="5" t="n">
        <v>1</v>
      </c>
      <c r="I4" s="7" t="str">
        <f>IF(H4&gt;=10,"РАСШИРЕННАЯ ПРОВЕРКА",IF(H4&gt;=5,"ДОПОЛНИТЕЛЬНАЯ ПРОВЕРКА","ОБЫЧНАЯ ПРОВЕРКА"))</f>
        <v>ОБЫЧНАЯ ПРОВЕРКА</v>
      </c>
      <c r="J4" s="4" t="inlineStr">
        <is>
          <t>Решение по результатам проверки</t>
        </is>
      </c>
    </row>
    <row r="5" ht="36" customHeight="1">
      <c r="A5" s="4" t="inlineStr">
        <is>
          <t>ИП «Сотрудник 24»</t>
        </is>
      </c>
      <c r="B5" s="4" t="inlineStr">
        <is>
          <t>Запчасти</t>
        </is>
      </c>
      <c r="C5" s="5" t="n">
        <v>1</v>
      </c>
      <c r="D5" s="5" t="n">
        <v>15000</v>
      </c>
      <c r="E5" s="5" t="n">
        <v>11000</v>
      </c>
      <c r="F5" s="8">
        <f>(D5-E5)/E5</f>
        <v>0.36363636363636365</v>
      </c>
      <c r="G5" s="4" t="inlineStr">
        <is>
          <t>ДА</t>
        </is>
      </c>
      <c r="H5" s="5" t="n">
        <v>12</v>
      </c>
      <c r="I5" s="7" t="str">
        <f>IF(H5&gt;=10,"РАСШИРЕННАЯ ПРОВЕРКА",IF(H5&gt;=5,"ДОПОЛНИТЕЛЬНАЯ ПРОВЕРКА","ОБЫЧНАЯ ПРОВЕРКА"))</f>
        <v>РАСШИРЕННАЯ ПРОВЕРКА</v>
      </c>
      <c r="J5" s="4" t="inlineStr">
        <is>
          <t>Решение по результатам проверки</t>
        </is>
      </c>
    </row>
    <row r="6" ht="36" customHeight="1">
      <c r="A6" s="4" t="inlineStr">
        <is>
          <t>СРЕДНЕЕ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8">
        <f>AVERAGE(F2:F5)</f>
        <v>0.1551362683438155</v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ПРОВЕРЕНО</t>
        </is>
      </c>
    </row>
    <row r="9">
      <c r="A9" t="inlineStr">
        <is>
          <t>Пояснение</t>
        </is>
      </c>
    </row>
    <row r="10">
      <c r="A10" s="6" t="inlineStr">
        <is>
          <t>ПР 400-ОД рассматривается как условное название внутреннего регламента. Пороги 5/10 — учебные, не закон и не проверенная скоринговая модель. Низкий счёт не подтверждает благонадёжность; учитывайте полноту анкеты.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(АУ / Бригадир)</t>
        </is>
      </c>
      <c r="B1" s="3" t="inlineStr">
        <is>
          <t>B (Физ. вес, т)</t>
        </is>
      </c>
      <c r="C1" s="3" t="inlineStr">
        <is>
          <t>C (Влажн. факт, %)</t>
        </is>
      </c>
      <c r="D1" s="3" t="inlineStr">
        <is>
          <t>D (Влажн. норма, %)</t>
        </is>
      </c>
      <c r="E1" s="3" t="inlineStr">
        <is>
          <t>E (Засор факт, %)</t>
        </is>
      </c>
      <c r="F1" s="3" t="inlineStr">
        <is>
          <t>F (Скидка веса, %)</t>
        </is>
      </c>
      <c r="G1" s="3" t="inlineStr">
        <is>
          <t>G (Зачётный вес, т)</t>
        </is>
      </c>
      <c r="H1" s="3" t="inlineStr">
        <is>
          <t>H (Цена, сом/т)</t>
        </is>
      </c>
      <c r="I1" s="3" t="inlineStr">
        <is>
          <t>I (Выручка факт, сом)</t>
        </is>
      </c>
      <c r="J1" s="3" t="inlineStr">
        <is>
          <t>J (Ущерб/Увод, сом)</t>
        </is>
      </c>
    </row>
    <row r="2" ht="36" customHeight="1">
      <c r="A2" s="4" t="inlineStr">
        <is>
          <t>АУ-1 (Сотрудник 14)</t>
        </is>
      </c>
      <c r="B2" s="5" t="n">
        <v>500</v>
      </c>
      <c r="C2" s="9" t="n">
        <v>0.12</v>
      </c>
      <c r="D2" s="9" t="n">
        <v>0.09</v>
      </c>
      <c r="E2" s="9" t="n">
        <v>0.03</v>
      </c>
      <c r="F2" s="8">
        <f>(C2-D2)+E2</f>
        <v>0.06</v>
      </c>
      <c r="G2" s="7">
        <f>B2*(1-F2)</f>
        <v>470.0</v>
      </c>
      <c r="H2" s="5" t="n">
        <v>6500</v>
      </c>
      <c r="I2" s="7">
        <f>G2*H2</f>
        <v>3055000.0</v>
      </c>
      <c r="J2" s="7">
        <f>B2*F2*H2</f>
        <v>195000.0</v>
      </c>
    </row>
    <row r="3" ht="36" customHeight="1">
      <c r="A3" s="4" t="inlineStr">
        <is>
          <t>АУ-2 (Сотрудник 03)</t>
        </is>
      </c>
      <c r="B3" s="5" t="n">
        <v>641</v>
      </c>
      <c r="C3" s="9" t="n">
        <v>0.09</v>
      </c>
      <c r="D3" s="9" t="n">
        <v>0.09</v>
      </c>
      <c r="E3" s="9" t="n">
        <v>0.01</v>
      </c>
      <c r="F3" s="8">
        <f>(C3-D3)+E3</f>
        <v>0.01</v>
      </c>
      <c r="G3" s="7">
        <f>B3*(1-F3)</f>
        <v>634.59</v>
      </c>
      <c r="H3" s="5" t="n">
        <v>6500</v>
      </c>
      <c r="I3" s="7">
        <f>G3*H3</f>
        <v>4124835.0</v>
      </c>
      <c r="J3" s="7">
        <f>B3*F3*H3</f>
        <v>41665.0</v>
      </c>
    </row>
    <row r="4" ht="36" customHeight="1">
      <c r="A4" s="4" t="inlineStr">
        <is>
          <t>АУ-2 (Сотрудник 06)</t>
        </is>
      </c>
      <c r="B4" s="5" t="n">
        <v>143</v>
      </c>
      <c r="C4" s="9" t="n">
        <v>0.13</v>
      </c>
      <c r="D4" s="9" t="n">
        <v>0.09</v>
      </c>
      <c r="E4" s="9" t="n">
        <v>0.04</v>
      </c>
      <c r="F4" s="8">
        <f>(C4-D4)+E4</f>
        <v>0.08000000000000002</v>
      </c>
      <c r="G4" s="7">
        <f>B4*(1-F4)</f>
        <v>131.56</v>
      </c>
      <c r="H4" s="5" t="n">
        <v>6500</v>
      </c>
      <c r="I4" s="7">
        <f>G4*H4</f>
        <v>855140.0</v>
      </c>
      <c r="J4" s="7">
        <f>B4*F4*H4</f>
        <v>74360.00000000001</v>
      </c>
    </row>
    <row r="5" ht="36" customHeight="1">
      <c r="A5" s="4" t="inlineStr">
        <is>
          <t>учебная организация «Контрагент CDDA»</t>
        </is>
      </c>
      <c r="B5" s="5" t="n">
        <v>11.5</v>
      </c>
      <c r="C5" s="9" t="n">
        <v>0.09</v>
      </c>
      <c r="D5" s="9" t="n">
        <v>0.09</v>
      </c>
      <c r="E5" s="9" t="n">
        <v>0.01</v>
      </c>
      <c r="F5" s="8">
        <f>(C5-D5)+E5</f>
        <v>0.01</v>
      </c>
      <c r="G5" s="7">
        <f>B5*(1-F5)</f>
        <v>11.385</v>
      </c>
      <c r="H5" s="5" t="n">
        <v>6500</v>
      </c>
      <c r="I5" s="7">
        <f>G5*H5</f>
        <v>74002.5</v>
      </c>
      <c r="J5" s="5" t="n">
        <v>0</v>
      </c>
    </row>
    <row r="6" ht="36" customHeight="1">
      <c r="A6" s="4" t="inlineStr">
        <is>
          <t>ИТОГО</t>
        </is>
      </c>
      <c r="B6" s="5" t="n">
        <v>1295.5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SUM(G2:G5)</f>
        <v>1247.535</v>
      </c>
      <c r="H6" s="4" t="inlineStr">
        <is>
          <t>—</t>
        </is>
      </c>
      <c r="I6" s="7">
        <f>SUM(I2:I5)</f>
        <v>8108977.5</v>
      </c>
      <c r="J6" s="7">
        <f>SUM(J2:J5)</f>
        <v>311025.0</v>
      </c>
    </row>
    <row r="9">
      <c r="A9" t="inlineStr">
        <is>
          <t>Пояснение</t>
        </is>
      </c>
    </row>
    <row r="10">
      <c r="A10" s="6" t="inlineStr">
        <is>
          <t>Зачётный вес в этой таблице следует условному контрактному вычету: превышение влажности над 9% и полный засор. Нулевая допустимая примесь — допущение этого примера. Для иного договора измените базис; не переносите формулу на физическую сушку.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(АУ / Бригадир)</t>
        </is>
      </c>
      <c r="B1" s="3" t="inlineStr">
        <is>
          <t>B (Физ. вес, т)</t>
        </is>
      </c>
      <c r="C1" s="3" t="inlineStr">
        <is>
          <t>C (Влажн. факт)</t>
        </is>
      </c>
      <c r="D1" s="3" t="inlineStr">
        <is>
          <t>D (Влажн. норма)</t>
        </is>
      </c>
      <c r="E1" s="3" t="inlineStr">
        <is>
          <t>E (Засор факт)</t>
        </is>
      </c>
      <c r="F1" s="3" t="inlineStr">
        <is>
          <t>F (Скидка веса, %)</t>
        </is>
      </c>
      <c r="G1" s="3" t="inlineStr">
        <is>
          <t>G (Зачётный вес, т)</t>
        </is>
      </c>
      <c r="H1" s="3" t="inlineStr">
        <is>
          <t>H (Цена, сом)</t>
        </is>
      </c>
      <c r="I1" s="3" t="inlineStr">
        <is>
          <t>I (Выручка, сом)</t>
        </is>
      </c>
      <c r="J1" s="3" t="inlineStr">
        <is>
          <t>J (Ущерб/Увод, сом)</t>
        </is>
      </c>
    </row>
    <row r="2" ht="36" customHeight="1">
      <c r="A2" s="4" t="inlineStr">
        <is>
          <t>АУ-1 (Сотрудник 14)</t>
        </is>
      </c>
      <c r="B2" s="5" t="n">
        <v>500</v>
      </c>
      <c r="C2" s="9" t="n">
        <v>0.12</v>
      </c>
      <c r="D2" s="9" t="n">
        <v>0.09</v>
      </c>
      <c r="E2" s="9" t="n">
        <v>0.03</v>
      </c>
      <c r="F2" s="8">
        <f>(C2-D2)+E2</f>
        <v>0.06</v>
      </c>
      <c r="G2" s="7">
        <f>B2*(1-F2)</f>
        <v>470.0</v>
      </c>
      <c r="H2" s="5" t="n">
        <v>6500</v>
      </c>
      <c r="I2" s="7">
        <f>G2*H2</f>
        <v>3055000.0</v>
      </c>
      <c r="J2" s="7">
        <f>B2*F2*H2</f>
        <v>195000.0</v>
      </c>
    </row>
    <row r="3" ht="36" customHeight="1">
      <c r="A3" s="4" t="inlineStr">
        <is>
          <t>АУ-2 (Сотрудник 03)</t>
        </is>
      </c>
      <c r="B3" s="5" t="n">
        <v>641</v>
      </c>
      <c r="C3" s="9" t="n">
        <v>0.09</v>
      </c>
      <c r="D3" s="9" t="n">
        <v>0.09</v>
      </c>
      <c r="E3" s="9" t="n">
        <v>0.01</v>
      </c>
      <c r="F3" s="8">
        <f>(C3-D3)+E3</f>
        <v>0.01</v>
      </c>
      <c r="G3" s="7">
        <f>B3*(1-F3)</f>
        <v>634.59</v>
      </c>
      <c r="H3" s="5" t="n">
        <v>6500</v>
      </c>
      <c r="I3" s="7">
        <f>G3*H3</f>
        <v>4124835.0</v>
      </c>
      <c r="J3" s="7">
        <f>B3*F3*H3</f>
        <v>41665.0</v>
      </c>
    </row>
    <row r="4" ht="36" customHeight="1">
      <c r="A4" s="4" t="inlineStr">
        <is>
          <t>АУ-2 (Сотрудник 06)</t>
        </is>
      </c>
      <c r="B4" s="5" t="n">
        <v>143</v>
      </c>
      <c r="C4" s="9" t="n">
        <v>0.13</v>
      </c>
      <c r="D4" s="9" t="n">
        <v>0.09</v>
      </c>
      <c r="E4" s="9" t="n">
        <v>0.04</v>
      </c>
      <c r="F4" s="8">
        <f>(C4-D4)+E4</f>
        <v>0.08000000000000002</v>
      </c>
      <c r="G4" s="7">
        <f>B4*(1-F4)</f>
        <v>131.56</v>
      </c>
      <c r="H4" s="5" t="n">
        <v>6500</v>
      </c>
      <c r="I4" s="7">
        <f>G4*H4</f>
        <v>855140.0</v>
      </c>
      <c r="J4" s="7">
        <f>B4*F4*H4</f>
        <v>74360.00000000001</v>
      </c>
    </row>
    <row r="5" ht="36" customHeight="1">
      <c r="A5" s="4" t="inlineStr">
        <is>
          <t>учебная организация «Контрагент CDDA»</t>
        </is>
      </c>
      <c r="B5" s="5" t="n">
        <v>11.5</v>
      </c>
      <c r="C5" s="9" t="n">
        <v>0.09</v>
      </c>
      <c r="D5" s="9" t="n">
        <v>0.09</v>
      </c>
      <c r="E5" s="9" t="n">
        <v>0.01</v>
      </c>
      <c r="F5" s="8">
        <f>(C5-D5)+E5</f>
        <v>0.01</v>
      </c>
      <c r="G5" s="7">
        <f>B5*(1-F5)</f>
        <v>11.385</v>
      </c>
      <c r="H5" s="5" t="n">
        <v>6500</v>
      </c>
      <c r="I5" s="7">
        <f>G5*H5</f>
        <v>74002.5</v>
      </c>
      <c r="J5" s="5" t="n">
        <v>0</v>
      </c>
    </row>
    <row r="6" ht="36" customHeight="1">
      <c r="A6" s="4" t="inlineStr">
        <is>
          <t>ИТОГО</t>
        </is>
      </c>
      <c r="B6" s="7">
        <f>SUM(B2:B5)</f>
        <v>1295.5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SUM(G2:G5)</f>
        <v>1247.535</v>
      </c>
      <c r="H6" s="4" t="inlineStr">
        <is>
          <t>—</t>
        </is>
      </c>
      <c r="I6" s="7">
        <f>SUM(I2:I5)</f>
        <v>8108977.5</v>
      </c>
      <c r="J6" s="7">
        <f>SUM(J2:J5)</f>
        <v>311025.0</v>
      </c>
    </row>
    <row r="9">
      <c r="A9" t="inlineStr">
        <is>
          <t>Пояснение</t>
        </is>
      </c>
    </row>
    <row r="10">
      <c r="A10" s="6" t="inlineStr">
        <is>
          <t>Зачётный вес в этой таблице следует условному контрактному вычету: превышение влажности над 9% и полный засор. Нулевая допустимая примесь — допущение этого примера. Для иного договора измените базис; не переносите формулу на физическую сушку.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(АУ / Бригада)</t>
        </is>
      </c>
      <c r="B1" s="3" t="inlineStr">
        <is>
          <t>B (Сбор сырца, т)</t>
        </is>
      </c>
      <c r="C1" s="3" t="inlineStr">
        <is>
          <t>C (Численность по ведомости)</t>
        </is>
      </c>
      <c r="D1" s="3" t="inlineStr">
        <is>
          <t>D (Удельная выработка, т/чел)</t>
        </is>
      </c>
      <c r="E1" s="3" t="inlineStr">
        <is>
          <t>E (Норма выработки, т/чел)</t>
        </is>
      </c>
      <c r="F1" s="3" t="inlineStr">
        <is>
          <t>F (Расчётная численность)</t>
        </is>
      </c>
      <c r="G1" s="3" t="inlineStr">
        <is>
          <t>G (Разница с расчётной численностью)</t>
        </is>
      </c>
      <c r="H1" s="3" t="inlineStr">
        <is>
          <t>H (Ставка/чел, сом)</t>
        </is>
      </c>
      <c r="I1" s="3" t="inlineStr">
        <is>
          <t>I (Сценарная разница ФОТ, сом)</t>
        </is>
      </c>
    </row>
    <row r="2" ht="36" customHeight="1">
      <c r="A2" s="4" t="inlineStr">
        <is>
          <t>Бригада 1 (Сотрудник 17)</t>
        </is>
      </c>
      <c r="B2" s="5" t="n">
        <v>350</v>
      </c>
      <c r="C2" s="5" t="n">
        <v>200</v>
      </c>
      <c r="D2" s="7">
        <f>B2/C2</f>
        <v>1.75</v>
      </c>
      <c r="E2" s="5" t="n">
        <v>3.5</v>
      </c>
      <c r="F2" s="7">
        <f>ROUNDUP(B2/E2,0)</f>
        <v>100.0</v>
      </c>
      <c r="G2" s="7">
        <f>C2-F2</f>
        <v>100.0</v>
      </c>
      <c r="H2" s="5" t="n">
        <v>1300</v>
      </c>
      <c r="I2" s="7">
        <f>G2*H2</f>
        <v>130000.0</v>
      </c>
    </row>
    <row r="3" ht="36" customHeight="1">
      <c r="A3" s="4" t="inlineStr">
        <is>
          <t>Бригада 2 (Сотрудник 02)</t>
        </is>
      </c>
      <c r="B3" s="5" t="n">
        <v>280</v>
      </c>
      <c r="C3" s="5" t="n">
        <v>90</v>
      </c>
      <c r="D3" s="7">
        <f>B3/C3</f>
        <v>3.111111111111111</v>
      </c>
      <c r="E3" s="5" t="n">
        <v>3.5</v>
      </c>
      <c r="F3" s="7">
        <f>ROUNDUP(B3/E3,0)</f>
        <v>80.0</v>
      </c>
      <c r="G3" s="7">
        <f>C3-F3</f>
        <v>10.0</v>
      </c>
      <c r="H3" s="5" t="n">
        <v>1300</v>
      </c>
      <c r="I3" s="7">
        <f>G3*H3</f>
        <v>13000.0</v>
      </c>
    </row>
    <row r="4" ht="36" customHeight="1">
      <c r="A4" s="4" t="inlineStr">
        <is>
          <t>Бригада 3 (Сотрудник 14)</t>
        </is>
      </c>
      <c r="B4" s="5" t="n">
        <v>500</v>
      </c>
      <c r="C4" s="5" t="n">
        <v>150</v>
      </c>
      <c r="D4" s="7">
        <f>B4/C4</f>
        <v>3.3333333333333335</v>
      </c>
      <c r="E4" s="5" t="n">
        <v>3.5</v>
      </c>
      <c r="F4" s="7">
        <f>ROUNDUP(B4/E4,0)</f>
        <v>143.0</v>
      </c>
      <c r="G4" s="7">
        <f>C4-F4</f>
        <v>7.0</v>
      </c>
      <c r="H4" s="5" t="n">
        <v>1300</v>
      </c>
      <c r="I4" s="7">
        <f>G4*H4</f>
        <v>9100.0</v>
      </c>
    </row>
    <row r="5" ht="36" customHeight="1">
      <c r="A5" s="4" t="inlineStr">
        <is>
          <t>Бригада 4 (Сотрудник 03)</t>
        </is>
      </c>
      <c r="B5" s="5" t="n">
        <v>210</v>
      </c>
      <c r="C5" s="5" t="n">
        <v>120</v>
      </c>
      <c r="D5" s="7">
        <f>B5/C5</f>
        <v>1.75</v>
      </c>
      <c r="E5" s="5" t="n">
        <v>3.5</v>
      </c>
      <c r="F5" s="7">
        <f>ROUNDUP(B5/E5,0)</f>
        <v>60.0</v>
      </c>
      <c r="G5" s="7">
        <f>C5-F5</f>
        <v>60.0</v>
      </c>
      <c r="H5" s="5" t="n">
        <v>1300</v>
      </c>
      <c r="I5" s="7">
        <f>G5*H5</f>
        <v>78000.0</v>
      </c>
    </row>
    <row r="6" ht="36" customHeight="1">
      <c r="A6" s="4" t="inlineStr">
        <is>
          <t>ИТОГО</t>
        </is>
      </c>
      <c r="B6" s="5" t="n">
        <v>1340</v>
      </c>
      <c r="C6" s="5" t="n">
        <v>560</v>
      </c>
      <c r="D6" s="4" t="inlineStr">
        <is>
          <t>—</t>
        </is>
      </c>
      <c r="E6" s="4" t="inlineStr">
        <is>
          <t>—</t>
        </is>
      </c>
      <c r="F6" s="5" t="n">
        <v>383</v>
      </c>
      <c r="G6" s="5" t="n">
        <v>177</v>
      </c>
      <c r="H6" s="4" t="inlineStr">
        <is>
          <t>—</t>
        </is>
      </c>
      <c r="I6" s="7">
        <f>SUM(I2:I5)</f>
        <v>230100.0</v>
      </c>
    </row>
    <row r="9">
      <c r="A9" t="inlineStr">
        <is>
          <t>Пояснение</t>
        </is>
      </c>
    </row>
    <row r="10">
      <c r="A10" s="6" t="inlineStr">
        <is>
          <t>Норматив 3,5 т/чел должен относиться к тому же периоду, что объём и численность. Разница не устанавливает фиктивных работников: учитывают человеко-дни, простои, состав работ и индивидуальные выплаты. Исправлена сумма 10 × 1300 = 13 000.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(АУ / Бригада)</t>
        </is>
      </c>
      <c r="B1" s="3" t="inlineStr">
        <is>
          <t>B (Сбор, т)</t>
        </is>
      </c>
      <c r="C1" s="3" t="inlineStr">
        <is>
          <t>C (Численность ведомость)</t>
        </is>
      </c>
      <c r="D1" s="3" t="inlineStr">
        <is>
          <t>D (Выработка, т/чел)</t>
        </is>
      </c>
      <c r="E1" s="3" t="inlineStr">
        <is>
          <t>E (Норма, т/чел)</t>
        </is>
      </c>
      <c r="F1" s="3" t="inlineStr">
        <is>
          <t>F (Расчётная числ)</t>
        </is>
      </c>
      <c r="G1" s="3" t="inlineStr">
        <is>
          <t>G (Разница с расчётной численностью)</t>
        </is>
      </c>
      <c r="H1" s="3" t="inlineStr">
        <is>
          <t>H (Ставка, сом)</t>
        </is>
      </c>
      <c r="I1" s="3" t="inlineStr">
        <is>
          <t>I (Сценарная разница ФОТ, сом)</t>
        </is>
      </c>
    </row>
    <row r="2" ht="36" customHeight="1">
      <c r="A2" s="4" t="inlineStr">
        <is>
          <t>Бригада 1 (Сотрудник 17)</t>
        </is>
      </c>
      <c r="B2" s="5" t="n">
        <v>350</v>
      </c>
      <c r="C2" s="5" t="n">
        <v>200</v>
      </c>
      <c r="D2" s="7">
        <f>B2/C2</f>
        <v>1.75</v>
      </c>
      <c r="E2" s="5" t="n">
        <v>3.5</v>
      </c>
      <c r="F2" s="7">
        <f>ROUNDUP(B2/E2,0)</f>
        <v>100.0</v>
      </c>
      <c r="G2" s="7">
        <f>C2-F2</f>
        <v>100.0</v>
      </c>
      <c r="H2" s="5" t="n">
        <v>1300</v>
      </c>
      <c r="I2" s="7">
        <f>G2*H2</f>
        <v>130000.0</v>
      </c>
    </row>
    <row r="3" ht="36" customHeight="1">
      <c r="A3" s="4" t="inlineStr">
        <is>
          <t>Бригада 2 (Сотрудник 02)</t>
        </is>
      </c>
      <c r="B3" s="5" t="n">
        <v>280</v>
      </c>
      <c r="C3" s="5" t="n">
        <v>90</v>
      </c>
      <c r="D3" s="7">
        <f>B3/C3</f>
        <v>3.111111111111111</v>
      </c>
      <c r="E3" s="5" t="n">
        <v>3.5</v>
      </c>
      <c r="F3" s="7">
        <f>ROUNDUP(B3/E3,0)</f>
        <v>80.0</v>
      </c>
      <c r="G3" s="7">
        <f>C3-F3</f>
        <v>10.0</v>
      </c>
      <c r="H3" s="5" t="n">
        <v>1300</v>
      </c>
      <c r="I3" s="7">
        <f>G3*H3</f>
        <v>13000.0</v>
      </c>
    </row>
    <row r="4" ht="36" customHeight="1">
      <c r="A4" s="4" t="inlineStr">
        <is>
          <t>Бригада 3 (Сотрудник 14)</t>
        </is>
      </c>
      <c r="B4" s="5" t="n">
        <v>500</v>
      </c>
      <c r="C4" s="5" t="n">
        <v>150</v>
      </c>
      <c r="D4" s="7">
        <f>B4/C4</f>
        <v>3.3333333333333335</v>
      </c>
      <c r="E4" s="5" t="n">
        <v>3.5</v>
      </c>
      <c r="F4" s="7">
        <f>ROUNDUP(B4/E4,0)</f>
        <v>143.0</v>
      </c>
      <c r="G4" s="7">
        <f>C4-F4</f>
        <v>7.0</v>
      </c>
      <c r="H4" s="5" t="n">
        <v>1300</v>
      </c>
      <c r="I4" s="7">
        <f>G4*H4</f>
        <v>9100.0</v>
      </c>
    </row>
    <row r="5" ht="36" customHeight="1">
      <c r="A5" s="4" t="inlineStr">
        <is>
          <t>Бригада 4 (Сотрудник 03)</t>
        </is>
      </c>
      <c r="B5" s="5" t="n">
        <v>210</v>
      </c>
      <c r="C5" s="5" t="n">
        <v>120</v>
      </c>
      <c r="D5" s="7">
        <f>B5/C5</f>
        <v>1.75</v>
      </c>
      <c r="E5" s="5" t="n">
        <v>3.5</v>
      </c>
      <c r="F5" s="7">
        <f>ROUNDUP(B5/E5,0)</f>
        <v>60.0</v>
      </c>
      <c r="G5" s="7">
        <f>C5-F5</f>
        <v>60.0</v>
      </c>
      <c r="H5" s="5" t="n">
        <v>1300</v>
      </c>
      <c r="I5" s="7">
        <f>G5*H5</f>
        <v>78000.0</v>
      </c>
    </row>
    <row r="6" ht="36" customHeight="1">
      <c r="A6" s="4" t="inlineStr">
        <is>
          <t>ИТОГО</t>
        </is>
      </c>
      <c r="B6" s="7">
        <f>SUM(B2:B5)</f>
        <v>1340.0</v>
      </c>
      <c r="C6" s="7">
        <f>SUM(C2:C5)</f>
        <v>560.0</v>
      </c>
      <c r="D6" s="4" t="inlineStr">
        <is>
          <t>—</t>
        </is>
      </c>
      <c r="E6" s="4" t="inlineStr">
        <is>
          <t>—</t>
        </is>
      </c>
      <c r="F6" s="7">
        <f>SUM(F2:F5)</f>
        <v>383.0</v>
      </c>
      <c r="G6" s="7">
        <f>SUM(G2:G5)</f>
        <v>177.0</v>
      </c>
      <c r="H6" s="4" t="inlineStr">
        <is>
          <t>—</t>
        </is>
      </c>
      <c r="I6" s="7">
        <f>SUM(I2:I5)</f>
        <v>230100.0</v>
      </c>
    </row>
    <row r="9">
      <c r="A9" t="inlineStr">
        <is>
          <t>Пояснение</t>
        </is>
      </c>
    </row>
    <row r="10">
      <c r="A10" s="6" t="inlineStr">
        <is>
          <t>Норматив 3,5 т/чел должен относиться к тому же периоду, что объём и численность. Разница не устанавливает фиктивных работников: учитывают человеко-дни, простои, состав работ и индивидуальные выплаты. Исправлена сумма 10 × 1300 = 13 000.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(Ресурс/Счёт)</t>
        </is>
      </c>
      <c r="B1" s="3" t="inlineStr">
        <is>
          <t>B (Ед. изм)</t>
        </is>
      </c>
      <c r="C1" s="3" t="inlineStr">
        <is>
          <t>C (Учёт, ед)</t>
        </is>
      </c>
      <c r="D1" s="3" t="inlineStr">
        <is>
          <t>D (Факт, ед)</t>
        </is>
      </c>
      <c r="E1" s="3" t="inlineStr">
        <is>
          <t>E (Отклонение, ед)</t>
        </is>
      </c>
      <c r="F1" s="3" t="inlineStr">
        <is>
          <t>F (Подтверждённая допустимая убыль, ед.)</t>
        </is>
      </c>
      <c r="G1" s="3" t="inlineStr">
        <is>
          <t>G (Недостача сверх допущения, ед.)</t>
        </is>
      </c>
      <c r="H1" s="3" t="inlineStr">
        <is>
          <t>H (Учётная цена, сом)</t>
        </is>
      </c>
      <c r="I1" s="3" t="inlineStr">
        <is>
          <t>I (Сумма недостачи, сом)</t>
        </is>
      </c>
      <c r="J1" s="3" t="inlineStr">
        <is>
          <t>J (Сумма излишка, сом)</t>
        </is>
      </c>
    </row>
    <row r="2" ht="36" customHeight="1">
      <c r="A2" s="4" t="inlineStr">
        <is>
          <t>Аммофос (10520)</t>
        </is>
      </c>
      <c r="B2" s="4" t="inlineStr">
        <is>
          <t>тонн</t>
        </is>
      </c>
      <c r="C2" s="5" t="n">
        <v>150</v>
      </c>
      <c r="D2" s="5" t="n">
        <v>138</v>
      </c>
      <c r="E2" s="7">
        <f>D2-C2</f>
        <v>-12.0</v>
      </c>
      <c r="F2" s="5" t="n">
        <v>0.5</v>
      </c>
      <c r="G2" s="7">
        <f>MAX(0,C2-D2-F2)</f>
        <v>11.5</v>
      </c>
      <c r="H2" s="5" t="n">
        <v>8278.6</v>
      </c>
      <c r="I2" s="7">
        <f>G2*H2</f>
        <v>95203.90000000001</v>
      </c>
      <c r="J2" s="5" t="n">
        <v>0</v>
      </c>
    </row>
    <row r="3" ht="36" customHeight="1">
      <c r="A3" s="4" t="inlineStr">
        <is>
          <t>Селитра (10520)</t>
        </is>
      </c>
      <c r="B3" s="4" t="inlineStr">
        <is>
          <t>тонн</t>
        </is>
      </c>
      <c r="C3" s="5" t="n">
        <v>200</v>
      </c>
      <c r="D3" s="5" t="n">
        <v>210</v>
      </c>
      <c r="E3" s="7">
        <f>D3-C3</f>
        <v>10.0</v>
      </c>
      <c r="F3" s="5" t="n">
        <v>0</v>
      </c>
      <c r="G3" s="7">
        <f>MAX(0,C3-D3-F3)</f>
        <v>0</v>
      </c>
      <c r="H3" s="5" t="n">
        <v>4235</v>
      </c>
      <c r="I3" s="7">
        <f>G3*H3</f>
        <v>0.0</v>
      </c>
      <c r="J3" s="7">
        <f>E3*H3</f>
        <v>42350.0</v>
      </c>
    </row>
    <row r="4" ht="36" customHeight="1">
      <c r="A4" s="4" t="inlineStr">
        <is>
          <t>Карбамид (10520)</t>
        </is>
      </c>
      <c r="B4" s="4" t="inlineStr">
        <is>
          <t>тонн</t>
        </is>
      </c>
      <c r="C4" s="5" t="n">
        <v>120</v>
      </c>
      <c r="D4" s="5" t="n">
        <v>98</v>
      </c>
      <c r="E4" s="7">
        <f>D4-C4</f>
        <v>-22.0</v>
      </c>
      <c r="F4" s="5" t="n">
        <v>0.4</v>
      </c>
      <c r="G4" s="7">
        <f>MAX(0,C4-D4-F4)</f>
        <v>21.6</v>
      </c>
      <c r="H4" s="5" t="n">
        <v>5247</v>
      </c>
      <c r="I4" s="7">
        <f>G4*H4</f>
        <v>113335.20000000001</v>
      </c>
      <c r="J4" s="5" t="n">
        <v>0</v>
      </c>
    </row>
    <row r="5" ht="36" customHeight="1">
      <c r="A5" s="4" t="inlineStr">
        <is>
          <t>ДТ Дизель (10611)</t>
        </is>
      </c>
      <c r="B5" s="4" t="inlineStr">
        <is>
          <t>литров</t>
        </is>
      </c>
      <c r="C5" s="5" t="n">
        <v>15000</v>
      </c>
      <c r="D5" s="5" t="n">
        <v>11200</v>
      </c>
      <c r="E5" s="7">
        <f>D5-C5</f>
        <v>-3800.0</v>
      </c>
      <c r="F5" s="5" t="n">
        <v>50</v>
      </c>
      <c r="G5" s="7">
        <f>MAX(0,C5-D5-F5)</f>
        <v>3750.0</v>
      </c>
      <c r="H5" s="5" t="n">
        <v>11</v>
      </c>
      <c r="I5" s="7">
        <f>G5*H5</f>
        <v>41250.0</v>
      </c>
      <c r="J5" s="5" t="n">
        <v>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7">
        <f>SUM(I2:I5)</f>
        <v>249789.10000000003</v>
      </c>
      <c r="J6" s="7">
        <f>SUM(J2:J5)</f>
        <v>42350.0</v>
      </c>
    </row>
    <row r="9">
      <c r="A9" t="inlineStr">
        <is>
          <t>Пояснение</t>
        </is>
      </c>
    </row>
    <row r="10">
      <c r="A10" s="6" t="inlineStr">
        <is>
          <t>Убыль можно учитывать только при документальном основании и подходящих условиях хранения. Здесь нормы заданы условно. Недостача и излишек отражаются отдельно; отрицательное отклонение не устанавливает виновное лицо.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(Ресурс/Счёт)</t>
        </is>
      </c>
      <c r="B1" s="3" t="inlineStr">
        <is>
          <t>B (Ед)</t>
        </is>
      </c>
      <c r="C1" s="3" t="inlineStr">
        <is>
          <t>C (Учёт)</t>
        </is>
      </c>
      <c r="D1" s="3" t="inlineStr">
        <is>
          <t>D (Факт)</t>
        </is>
      </c>
      <c r="E1" s="3" t="inlineStr">
        <is>
          <t>E (Отклонение)</t>
        </is>
      </c>
      <c r="F1" s="3" t="inlineStr">
        <is>
          <t>F (Подтверждённая допустимая убыль, ед.)</t>
        </is>
      </c>
      <c r="G1" s="3" t="inlineStr">
        <is>
          <t>G (Недостача сверх допущения, ед.)</t>
        </is>
      </c>
      <c r="H1" s="3" t="inlineStr">
        <is>
          <t>H (Цена, сом)</t>
        </is>
      </c>
      <c r="I1" s="3" t="inlineStr">
        <is>
          <t>I (Недостача, сом)</t>
        </is>
      </c>
      <c r="J1" s="3" t="inlineStr">
        <is>
          <t>J (Излишек, сом)</t>
        </is>
      </c>
    </row>
    <row r="2" ht="36" customHeight="1">
      <c r="A2" s="4" t="inlineStr">
        <is>
          <t>Аммофос (10520)</t>
        </is>
      </c>
      <c r="B2" s="4" t="inlineStr">
        <is>
          <t>т</t>
        </is>
      </c>
      <c r="C2" s="5" t="n">
        <v>150</v>
      </c>
      <c r="D2" s="5" t="n">
        <v>138</v>
      </c>
      <c r="E2" s="7">
        <f>D2-C2</f>
        <v>-12.0</v>
      </c>
      <c r="F2" s="5" t="n">
        <v>0.5</v>
      </c>
      <c r="G2" s="7">
        <f>MAX(0,C2-D2-F2)</f>
        <v>11.5</v>
      </c>
      <c r="H2" s="5" t="n">
        <v>8278.6</v>
      </c>
      <c r="I2" s="7">
        <f>G2*H2</f>
        <v>95203.90000000001</v>
      </c>
      <c r="J2" s="5" t="n">
        <v>0</v>
      </c>
    </row>
    <row r="3" ht="36" customHeight="1">
      <c r="A3" s="4" t="inlineStr">
        <is>
          <t>Селитра (10520)</t>
        </is>
      </c>
      <c r="B3" s="4" t="inlineStr">
        <is>
          <t>т</t>
        </is>
      </c>
      <c r="C3" s="5" t="n">
        <v>200</v>
      </c>
      <c r="D3" s="5" t="n">
        <v>210</v>
      </c>
      <c r="E3" s="7">
        <f>D3-C3</f>
        <v>10.0</v>
      </c>
      <c r="F3" s="5" t="n">
        <v>0</v>
      </c>
      <c r="G3" s="7">
        <f>MAX(0,C3-D3-F3)</f>
        <v>0</v>
      </c>
      <c r="H3" s="5" t="n">
        <v>4235</v>
      </c>
      <c r="I3" s="7">
        <f>G3*H3</f>
        <v>0.0</v>
      </c>
      <c r="J3" s="7">
        <f>E3*H3</f>
        <v>42350.0</v>
      </c>
    </row>
    <row r="4" ht="36" customHeight="1">
      <c r="A4" s="4" t="inlineStr">
        <is>
          <t>Карбамид (10520)</t>
        </is>
      </c>
      <c r="B4" s="4" t="inlineStr">
        <is>
          <t>т</t>
        </is>
      </c>
      <c r="C4" s="5" t="n">
        <v>120</v>
      </c>
      <c r="D4" s="5" t="n">
        <v>98</v>
      </c>
      <c r="E4" s="7">
        <f>D4-C4</f>
        <v>-22.0</v>
      </c>
      <c r="F4" s="5" t="n">
        <v>0.4</v>
      </c>
      <c r="G4" s="7">
        <f>MAX(0,C4-D4-F4)</f>
        <v>21.6</v>
      </c>
      <c r="H4" s="5" t="n">
        <v>5247</v>
      </c>
      <c r="I4" s="7">
        <f>G4*H4</f>
        <v>113335.20000000001</v>
      </c>
      <c r="J4" s="5" t="n">
        <v>0</v>
      </c>
    </row>
    <row r="5" ht="36" customHeight="1">
      <c r="A5" s="4" t="inlineStr">
        <is>
          <t>ДТ Дизель (10611)</t>
        </is>
      </c>
      <c r="B5" s="4" t="inlineStr">
        <is>
          <t>л</t>
        </is>
      </c>
      <c r="C5" s="5" t="n">
        <v>15000</v>
      </c>
      <c r="D5" s="5" t="n">
        <v>11200</v>
      </c>
      <c r="E5" s="7">
        <f>D5-C5</f>
        <v>-3800.0</v>
      </c>
      <c r="F5" s="5" t="n">
        <v>50</v>
      </c>
      <c r="G5" s="7">
        <f>MAX(0,C5-D5-F5)</f>
        <v>3750.0</v>
      </c>
      <c r="H5" s="5" t="n">
        <v>11</v>
      </c>
      <c r="I5" s="7">
        <f>G5*H5</f>
        <v>41250.0</v>
      </c>
      <c r="J5" s="5" t="n">
        <v>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7">
        <f>SUM(I2:I5)</f>
        <v>249789.10000000003</v>
      </c>
      <c r="J6" s="7">
        <f>SUM(J2:J5)</f>
        <v>42350.0</v>
      </c>
    </row>
    <row r="9">
      <c r="A9" t="inlineStr">
        <is>
          <t>Пояснение</t>
        </is>
      </c>
    </row>
    <row r="10">
      <c r="A10" s="6" t="inlineStr">
        <is>
          <t>Убыль можно учитывать только при документальном основании и подходящих условиях хранения. Здесь нормы заданы условно. Недостача и излишек отражаются отдельно; отрицательное отклонение не устанавливает виновное лицо.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Первая цифра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</row>
    <row r="2" ht="36" customHeight="1">
      <c r="A2" s="4" t="inlineStr">
        <is>
          <t>Теоретическая частота %</t>
        </is>
      </c>
      <c r="B2" s="9" t="n">
        <v>0.301</v>
      </c>
      <c r="C2" s="9" t="n">
        <v>0.176</v>
      </c>
      <c r="D2" s="9" t="n">
        <v>0.125</v>
      </c>
      <c r="E2" s="9" t="n">
        <v>0.09699999999999999</v>
      </c>
      <c r="F2" s="9" t="n">
        <v>0.079</v>
      </c>
      <c r="G2" s="9" t="n">
        <v>0.067</v>
      </c>
      <c r="H2" s="9" t="n">
        <v>0.058</v>
      </c>
      <c r="I2" s="9" t="n">
        <v>0.051</v>
      </c>
      <c r="J2" s="9" t="n">
        <v>0.046</v>
      </c>
    </row>
    <row r="5">
      <c r="A5" t="inlineStr">
        <is>
          <t>Пояснение</t>
        </is>
      </c>
    </row>
    <row r="6">
      <c r="A6" s="6" t="inlineStr">
        <is>
          <t>Закон Бенфорда применим не ко всем данным. Идентификаторы, назначенные тарифы и узкие диапазоны обычно непригодны. Порог 10 процентных пунктов здесь лишь учебный фильтр, не статистический тест и не доказательство нарушения.</t>
        </is>
      </c>
    </row>
    <row r="7"/>
    <row r="8"/>
  </sheetData>
  <autoFilter ref="A1:J2"/>
  <mergeCells count="1">
    <mergeCell ref="A6:J8"/>
  </mergeCells>
  <pageMargins left="0.75" right="0.75" top="1" bottom="1" header="0.5" footer="0.5"/>
  <pageSetup orientation="landscape" paperSize="9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6" customHeight="1">
      <c r="A1" s="3" t="inlineStr">
        <is>
          <t>A (Цифра)</t>
        </is>
      </c>
      <c r="B1" s="3" t="inlineStr">
        <is>
          <t>B (Теория Бенфорда, %)</t>
        </is>
      </c>
      <c r="C1" s="3" t="inlineStr">
        <is>
          <t>C (Факт выборки, ед)</t>
        </is>
      </c>
      <c r="D1" s="3" t="inlineStr">
        <is>
          <t>D (Факт частота, %)</t>
        </is>
      </c>
      <c r="E1" s="3" t="inlineStr">
        <is>
          <t>E (Отклонение, %)</t>
        </is>
      </c>
      <c r="F1" s="3" t="inlineStr">
        <is>
          <t>F (Статус риска)</t>
        </is>
      </c>
    </row>
    <row r="2" ht="36" customHeight="1">
      <c r="A2" s="5" t="n">
        <v>1</v>
      </c>
      <c r="B2" s="8">
        <f>LOG10(1+1/A2)</f>
        <v>0.3010299956639812</v>
      </c>
      <c r="C2" s="5" t="n">
        <v>22</v>
      </c>
      <c r="D2" s="8">
        <f>C2/SUM(C2:C10)</f>
        <v>0.11</v>
      </c>
      <c r="E2" s="8">
        <f>D2-B2</f>
        <v>-0.1910299956639812</v>
      </c>
      <c r="F2" s="7" t="str">
        <f>IF(ABS(E2)&gt;0.1,"ПРОВЕРИТЬ ВЫБОРКУ","НЕТ СИГНАЛА ПО ПОРОГУ")</f>
        <v>ПРОВЕРИТЬ ВЫБОРКУ</v>
      </c>
    </row>
    <row r="3" ht="36" customHeight="1">
      <c r="A3" s="5" t="n">
        <v>2</v>
      </c>
      <c r="B3" s="8">
        <f>LOG10(1+1/A3)</f>
        <v>0.17609125905568124</v>
      </c>
      <c r="C3" s="5" t="n">
        <v>35</v>
      </c>
      <c r="D3" s="8">
        <f>C3/SUM(C2:C10)</f>
        <v>0.175</v>
      </c>
      <c r="E3" s="8">
        <f>D3-B3</f>
        <v>-0.0010912590556812485</v>
      </c>
      <c r="F3" s="7" t="str">
        <f>IF(ABS(E3)&gt;0.1,"ПРОВЕРИТЬ ВЫБОРКУ","НЕТ СИГНАЛА ПО ПОРОГУ")</f>
        <v>НЕТ СИГНАЛА ПО ПОРОГУ</v>
      </c>
    </row>
    <row r="4" ht="36" customHeight="1">
      <c r="A4" s="5" t="n">
        <v>3</v>
      </c>
      <c r="B4" s="8">
        <f>LOG10(1+1/A4)</f>
        <v>0.12493873660829992</v>
      </c>
      <c r="C4" s="5" t="n">
        <v>24</v>
      </c>
      <c r="D4" s="8">
        <f>C4/SUM(C2:C10)</f>
        <v>0.12</v>
      </c>
      <c r="E4" s="8">
        <f>D4-B4</f>
        <v>-0.0049387366082999234</v>
      </c>
      <c r="F4" s="7" t="str">
        <f>IF(ABS(E4)&gt;0.1,"ПРОВЕРИТЬ ВЫБОРКУ","НЕТ СИГНАЛА ПО ПОРОГУ")</f>
        <v>НЕТ СИГНАЛА ПО ПОРОГУ</v>
      </c>
    </row>
    <row r="5" ht="36" customHeight="1">
      <c r="A5" s="5" t="n">
        <v>4</v>
      </c>
      <c r="B5" s="8">
        <f>LOG10(1+1/A5)</f>
        <v>0.09691001300805642</v>
      </c>
      <c r="C5" s="5" t="n">
        <v>68</v>
      </c>
      <c r="D5" s="8">
        <f>C5/SUM(C2:C10)</f>
        <v>0.34</v>
      </c>
      <c r="E5" s="8">
        <f>D5-B5</f>
        <v>0.24308998699194362</v>
      </c>
      <c r="F5" s="7" t="str">
        <f>IF(ABS(E5)&gt;0.1,"ПРОВЕРИТЬ ВЫБОРКУ","НЕТ СИГНАЛА ПО ПОРОГУ")</f>
        <v>ПРОВЕРИТЬ ВЫБОРКУ</v>
      </c>
    </row>
    <row r="6" ht="36" customHeight="1">
      <c r="A6" s="5" t="n">
        <v>5</v>
      </c>
      <c r="B6" s="8">
        <f>LOG10(1+1/A6)</f>
        <v>0.07918124604762482</v>
      </c>
      <c r="C6" s="5" t="n">
        <v>16</v>
      </c>
      <c r="D6" s="8">
        <f>C6/SUM(C2:C10)</f>
        <v>0.08</v>
      </c>
      <c r="E6" s="8">
        <f>D6-B6</f>
        <v>0.0008187539523751841</v>
      </c>
      <c r="F6" s="7" t="str">
        <f>IF(ABS(E6)&gt;0.1,"ПРОВЕРИТЬ ВЫБОРКУ","НЕТ СИГНАЛА ПО ПОРОГУ")</f>
        <v>НЕТ СИГНАЛА ПО ПОРОГУ</v>
      </c>
    </row>
    <row r="7" ht="36" customHeight="1">
      <c r="A7" s="5" t="n">
        <v>6</v>
      </c>
      <c r="B7" s="8">
        <f>LOG10(1+1/A7)</f>
        <v>0.06694678963061322</v>
      </c>
      <c r="C7" s="5" t="n">
        <v>13</v>
      </c>
      <c r="D7" s="8">
        <f>C7/SUM(C2:C10)</f>
        <v>0.065</v>
      </c>
      <c r="E7" s="8">
        <f>D7-B7</f>
        <v>-0.0019467896306132187</v>
      </c>
      <c r="F7" s="7" t="str">
        <f>IF(ABS(E7)&gt;0.1,"ПРОВЕРИТЬ ВЫБОРКУ","НЕТ СИГНАЛА ПО ПОРОГУ")</f>
        <v>НЕТ СИГНАЛА ПО ПОРОГУ</v>
      </c>
    </row>
    <row r="8" ht="36" customHeight="1">
      <c r="A8" s="5" t="n">
        <v>7</v>
      </c>
      <c r="B8" s="8">
        <f>LOG10(1+1/A8)</f>
        <v>0.05799194697768673</v>
      </c>
      <c r="C8" s="5" t="n">
        <v>11</v>
      </c>
      <c r="D8" s="8">
        <f>C8/SUM(C2:C10)</f>
        <v>0.055</v>
      </c>
      <c r="E8" s="8">
        <f>D8-B8</f>
        <v>-0.0029919469776867325</v>
      </c>
      <c r="F8" s="7" t="str">
        <f>IF(ABS(E8)&gt;0.1,"ПРОВЕРИТЬ ВЫБОРКУ","НЕТ СИГНАЛА ПО ПОРОГУ")</f>
        <v>НЕТ СИГНАЛА ПО ПОРОГУ</v>
      </c>
    </row>
    <row r="9" ht="36" customHeight="1">
      <c r="A9" s="5" t="n">
        <v>8</v>
      </c>
      <c r="B9" s="8">
        <f>LOG10(1+1/A9)</f>
        <v>0.05115252244738129</v>
      </c>
      <c r="C9" s="5" t="n">
        <v>6</v>
      </c>
      <c r="D9" s="8">
        <f>C9/SUM(C2:C10)</f>
        <v>0.03</v>
      </c>
      <c r="E9" s="8">
        <f>D9-B9</f>
        <v>-0.02115252244738129</v>
      </c>
      <c r="F9" s="7" t="str">
        <f>IF(ABS(E9)&gt;0.1,"ПРОВЕРИТЬ ВЫБОРКУ","НЕТ СИГНАЛА ПО ПОРОГУ")</f>
        <v>НЕТ СИГНАЛА ПО ПОРОГУ</v>
      </c>
    </row>
    <row r="10" ht="36" customHeight="1">
      <c r="A10" s="5" t="n">
        <v>9</v>
      </c>
      <c r="B10" s="8">
        <f>LOG10(1+1/A10)</f>
        <v>0.04575749056067514</v>
      </c>
      <c r="C10" s="5" t="n">
        <v>5</v>
      </c>
      <c r="D10" s="8">
        <f>C10/SUM(C2:C10)</f>
        <v>0.025</v>
      </c>
      <c r="E10" s="8">
        <f>D10-B10</f>
        <v>-0.02075749056067514</v>
      </c>
      <c r="F10" s="7" t="str">
        <f>IF(ABS(E10)&gt;0.1,"ПРОВЕРИТЬ ВЫБОРКУ","НЕТ СИГНАЛА ПО ПОРОГУ")</f>
        <v>НЕТ СИГНАЛА ПО ПОРОГУ</v>
      </c>
    </row>
    <row r="11" ht="36" customHeight="1">
      <c r="A11" s="4" t="inlineStr">
        <is>
          <t>ИТОГО</t>
        </is>
      </c>
      <c r="B11" s="9" t="n">
        <v>1</v>
      </c>
      <c r="C11" s="5" t="n">
        <v>200</v>
      </c>
      <c r="D11" s="9" t="n">
        <v>1</v>
      </c>
      <c r="E11" s="4" t="inlineStr">
        <is>
          <t>—</t>
        </is>
      </c>
      <c r="F11" s="4" t="inlineStr">
        <is>
          <t>СКРИНИНГ 100%</t>
        </is>
      </c>
    </row>
    <row r="14">
      <c r="A14" t="inlineStr">
        <is>
          <t>Пояснение</t>
        </is>
      </c>
    </row>
    <row r="15">
      <c r="A15" s="6" t="inlineStr">
        <is>
          <t>Закон Бенфорда применим не ко всем данным. Идентификаторы, назначенные тарифы и узкие диапазоны обычно непригодны. Порог 10 процентных пунктов здесь лишь учебный фильтр, не статистический тест и не доказательство нарушения.</t>
        </is>
      </c>
    </row>
    <row r="16"/>
    <row r="17"/>
  </sheetData>
  <autoFilter ref="A1:F11"/>
  <mergeCells count="1">
    <mergeCell ref="A15:F17"/>
  </mergeCells>
  <pageMargins left="0.75" right="0.75" top="1" bottom="1" header="0.5" footer="0.5"/>
  <pageSetup orientation="landscape" paperSize="9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6" customHeight="1">
      <c r="A1" s="3" t="inlineStr">
        <is>
          <t>A (Цифра)</t>
        </is>
      </c>
      <c r="B1" s="3" t="inlineStr">
        <is>
          <t>B (Теория Бенфорда)</t>
        </is>
      </c>
      <c r="C1" s="3" t="inlineStr">
        <is>
          <t>C (Факт выборки, ед)</t>
        </is>
      </c>
      <c r="D1" s="3" t="inlineStr">
        <is>
          <t>D (Факт частота, %)</t>
        </is>
      </c>
      <c r="E1" s="3" t="inlineStr">
        <is>
          <t>E (Отклонение, %)</t>
        </is>
      </c>
      <c r="F1" s="3" t="inlineStr">
        <is>
          <t>F (Статус риска)</t>
        </is>
      </c>
    </row>
    <row r="2" ht="36" customHeight="1">
      <c r="A2" s="5" t="n">
        <v>1</v>
      </c>
      <c r="B2" s="7">
        <f>LOG10(1+1/A2)</f>
        <v>0.3010299956639812</v>
      </c>
      <c r="C2" s="5" t="n">
        <v>22</v>
      </c>
      <c r="D2" s="8">
        <f>C2/SUM(C2:C10)</f>
        <v>0.11</v>
      </c>
      <c r="E2" s="8">
        <f>D2-B2</f>
        <v>-0.1910299956639812</v>
      </c>
      <c r="F2" s="7" t="str">
        <f>IF(ABS(E2)&gt;0.1,"ПРОВЕРИТЬ ВЫБОРКУ","НЕТ СИГНАЛА ПО ПОРОГУ")</f>
        <v>ПРОВЕРИТЬ ВЫБОРКУ</v>
      </c>
    </row>
    <row r="3" ht="36" customHeight="1">
      <c r="A3" s="5" t="n">
        <v>2</v>
      </c>
      <c r="B3" s="7">
        <f>LOG10(1+1/A3)</f>
        <v>0.17609125905568124</v>
      </c>
      <c r="C3" s="5" t="n">
        <v>35</v>
      </c>
      <c r="D3" s="8">
        <f>C3/SUM(C2:C10)</f>
        <v>0.175</v>
      </c>
      <c r="E3" s="8">
        <f>D3-B3</f>
        <v>-0.0010912590556812485</v>
      </c>
      <c r="F3" s="7" t="str">
        <f>IF(ABS(E3)&gt;0.1,"ПРОВЕРИТЬ ВЫБОРКУ","НЕТ СИГНАЛА ПО ПОРОГУ")</f>
        <v>НЕТ СИГНАЛА ПО ПОРОГУ</v>
      </c>
    </row>
    <row r="4" ht="36" customHeight="1">
      <c r="A4" s="5" t="n">
        <v>3</v>
      </c>
      <c r="B4" s="7">
        <f>LOG10(1+1/A4)</f>
        <v>0.12493873660829992</v>
      </c>
      <c r="C4" s="5" t="n">
        <v>24</v>
      </c>
      <c r="D4" s="8">
        <f>C4/SUM(C2:C10)</f>
        <v>0.12</v>
      </c>
      <c r="E4" s="8">
        <f>D4-B4</f>
        <v>-0.0049387366082999234</v>
      </c>
      <c r="F4" s="7" t="str">
        <f>IF(ABS(E4)&gt;0.1,"ПРОВЕРИТЬ ВЫБОРКУ","НЕТ СИГНАЛА ПО ПОРОГУ")</f>
        <v>НЕТ СИГНАЛА ПО ПОРОГУ</v>
      </c>
    </row>
    <row r="5" ht="36" customHeight="1">
      <c r="A5" s="5" t="n">
        <v>4</v>
      </c>
      <c r="B5" s="7">
        <f>LOG10(1+1/A5)</f>
        <v>0.09691001300805642</v>
      </c>
      <c r="C5" s="5" t="n">
        <v>68</v>
      </c>
      <c r="D5" s="8">
        <f>C5/SUM(C2:C10)</f>
        <v>0.34</v>
      </c>
      <c r="E5" s="8">
        <f>D5-B5</f>
        <v>0.24308998699194362</v>
      </c>
      <c r="F5" s="7" t="str">
        <f>IF(ABS(E5)&gt;0.1,"ПРОВЕРИТЬ ВЫБОРКУ","НЕТ СИГНАЛА ПО ПОРОГУ")</f>
        <v>ПРОВЕРИТЬ ВЫБОРКУ</v>
      </c>
    </row>
    <row r="6" ht="36" customHeight="1">
      <c r="A6" s="5" t="n">
        <v>5</v>
      </c>
      <c r="B6" s="7">
        <f>LOG10(1+1/A6)</f>
        <v>0.07918124604762482</v>
      </c>
      <c r="C6" s="5" t="n">
        <v>16</v>
      </c>
      <c r="D6" s="8">
        <f>C6/SUM(C2:C10)</f>
        <v>0.08</v>
      </c>
      <c r="E6" s="8">
        <f>D6-B6</f>
        <v>0.0008187539523751841</v>
      </c>
      <c r="F6" s="7" t="str">
        <f>IF(ABS(E6)&gt;0.1,"ПРОВЕРИТЬ ВЫБОРКУ","НЕТ СИГНАЛА ПО ПОРОГУ")</f>
        <v>НЕТ СИГНАЛА ПО ПОРОГУ</v>
      </c>
    </row>
    <row r="7" ht="36" customHeight="1">
      <c r="A7" s="5" t="n">
        <v>6</v>
      </c>
      <c r="B7" s="7">
        <f>LOG10(1+1/A7)</f>
        <v>0.06694678963061322</v>
      </c>
      <c r="C7" s="5" t="n">
        <v>13</v>
      </c>
      <c r="D7" s="8">
        <f>C7/SUM(C2:C10)</f>
        <v>0.065</v>
      </c>
      <c r="E7" s="8">
        <f>D7-B7</f>
        <v>-0.0019467896306132187</v>
      </c>
      <c r="F7" s="7" t="str">
        <f>IF(ABS(E7)&gt;0.1,"ПРОВЕРИТЬ ВЫБОРКУ","НЕТ СИГНАЛА ПО ПОРОГУ")</f>
        <v>НЕТ СИГНАЛА ПО ПОРОГУ</v>
      </c>
    </row>
    <row r="8" ht="36" customHeight="1">
      <c r="A8" s="5" t="n">
        <v>7</v>
      </c>
      <c r="B8" s="7">
        <f>LOG10(1+1/A8)</f>
        <v>0.05799194697768673</v>
      </c>
      <c r="C8" s="5" t="n">
        <v>11</v>
      </c>
      <c r="D8" s="8">
        <f>C8/SUM(C2:C10)</f>
        <v>0.055</v>
      </c>
      <c r="E8" s="8">
        <f>D8-B8</f>
        <v>-0.0029919469776867325</v>
      </c>
      <c r="F8" s="7" t="str">
        <f>IF(ABS(E8)&gt;0.1,"ПРОВЕРИТЬ ВЫБОРКУ","НЕТ СИГНАЛА ПО ПОРОГУ")</f>
        <v>НЕТ СИГНАЛА ПО ПОРОГУ</v>
      </c>
    </row>
    <row r="9" ht="36" customHeight="1">
      <c r="A9" s="5" t="n">
        <v>8</v>
      </c>
      <c r="B9" s="7">
        <f>LOG10(1+1/A9)</f>
        <v>0.05115252244738129</v>
      </c>
      <c r="C9" s="5" t="n">
        <v>6</v>
      </c>
      <c r="D9" s="8">
        <f>C9/SUM(C2:C10)</f>
        <v>0.03</v>
      </c>
      <c r="E9" s="8">
        <f>D9-B9</f>
        <v>-0.02115252244738129</v>
      </c>
      <c r="F9" s="7" t="str">
        <f>IF(ABS(E9)&gt;0.1,"ПРОВЕРИТЬ ВЫБОРКУ","НЕТ СИГНАЛА ПО ПОРОГУ")</f>
        <v>НЕТ СИГНАЛА ПО ПОРОГУ</v>
      </c>
    </row>
    <row r="10" ht="36" customHeight="1">
      <c r="A10" s="5" t="n">
        <v>9</v>
      </c>
      <c r="B10" s="7">
        <f>LOG10(1+1/A10)</f>
        <v>0.04575749056067514</v>
      </c>
      <c r="C10" s="5" t="n">
        <v>5</v>
      </c>
      <c r="D10" s="8">
        <f>C10/SUM(C2:C10)</f>
        <v>0.025</v>
      </c>
      <c r="E10" s="8">
        <f>D10-B10</f>
        <v>-0.02075749056067514</v>
      </c>
      <c r="F10" s="7" t="str">
        <f>IF(ABS(E10)&gt;0.1,"ПРОВЕРИТЬ ВЫБОРКУ","НЕТ СИГНАЛА ПО ПОРОГУ")</f>
        <v>НЕТ СИГНАЛА ПО ПОРОГУ</v>
      </c>
    </row>
    <row r="11" ht="36" customHeight="1">
      <c r="A11" s="4" t="inlineStr">
        <is>
          <t>ИТОГО</t>
        </is>
      </c>
      <c r="B11" s="9" t="n">
        <v>1</v>
      </c>
      <c r="C11" s="7">
        <f>SUM(C2:C10)</f>
        <v>200.0</v>
      </c>
      <c r="D11" s="8">
        <f>SUM(D2:D10)</f>
        <v>1.0</v>
      </c>
      <c r="E11" s="4" t="inlineStr">
        <is>
          <t>—</t>
        </is>
      </c>
      <c r="F11" s="4" t="inlineStr">
        <is>
          <t>СКРИНИНГ 100%</t>
        </is>
      </c>
    </row>
    <row r="14">
      <c r="A14" t="inlineStr">
        <is>
          <t>Пояснение</t>
        </is>
      </c>
    </row>
    <row r="15">
      <c r="A15" s="6" t="inlineStr">
        <is>
          <t>Закон Бенфорда применим не ко всем данным. Идентификаторы, назначенные тарифы и узкие диапазоны обычно непригодны. Порог 10 процентных пунктов здесь лишь учебный фильтр, не статистический тест и не доказательство нарушения.</t>
        </is>
      </c>
    </row>
    <row r="16"/>
    <row r="17"/>
  </sheetData>
  <autoFilter ref="A1:F11"/>
  <mergeCells count="1">
    <mergeCell ref="A15:F17"/>
  </mergeCells>
  <pageMargins left="0.75" right="0.75" top="1" bottom="1" header="0.5" footer="0.5"/>
  <pageSetup orientation="landscape" paperSize="9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(Ресурс)</t>
        </is>
      </c>
      <c r="B1" s="3" t="inlineStr">
        <is>
          <t>B (Объём, ед)</t>
        </is>
      </c>
      <c r="C1" s="3" t="inlineStr">
        <is>
          <t>C (Цена осень, сом)</t>
        </is>
      </c>
      <c r="D1" s="3" t="inlineStr">
        <is>
          <t>D (Цена весна, сом)</t>
        </is>
      </c>
      <c r="E1" s="3" t="inlineStr">
        <is>
          <t>E (Сумма весна, сом)</t>
        </is>
      </c>
      <c r="F1" s="3" t="inlineStr">
        <is>
          <t>F (Сумма осень, сом)</t>
        </is>
      </c>
      <c r="G1" s="3" t="inlineStr">
        <is>
          <t>G (Экономия, сом)</t>
        </is>
      </c>
      <c r="H1" s="3" t="inlineStr">
        <is>
          <t>H (Плата за капитал, сом)</t>
        </is>
      </c>
      <c r="I1" s="3" t="inlineStr">
        <is>
          <t>I (Чистый эффект, сом)</t>
        </is>
      </c>
      <c r="J1" s="3" t="inlineStr">
        <is>
          <t>J (Решение)</t>
        </is>
      </c>
    </row>
    <row r="2" ht="36" customHeight="1">
      <c r="A2" s="4" t="inlineStr">
        <is>
          <t>Аммофос</t>
        </is>
      </c>
      <c r="B2" s="5" t="n">
        <v>300</v>
      </c>
      <c r="C2" s="5" t="n">
        <v>8278.6</v>
      </c>
      <c r="D2" s="5" t="n">
        <v>9915</v>
      </c>
      <c r="E2" s="7">
        <f>B2*D2</f>
        <v>2974500.0</v>
      </c>
      <c r="F2" s="7">
        <f>B2*C2</f>
        <v>2483580.0</v>
      </c>
      <c r="G2" s="7">
        <f>E2-F2</f>
        <v>490920.0</v>
      </c>
      <c r="H2" s="7">
        <f>F2*0.20*0.5</f>
        <v>248358.0</v>
      </c>
      <c r="I2" s="7">
        <f>G2-H2</f>
        <v>242562.0</v>
      </c>
      <c r="J2" s="4" t="inlineStr">
        <is>
          <t>ХЕДЖИРОВАТЬ</t>
        </is>
      </c>
    </row>
    <row r="3" ht="36" customHeight="1">
      <c r="A3" s="4" t="inlineStr">
        <is>
          <t>Карбамид</t>
        </is>
      </c>
      <c r="B3" s="5" t="n">
        <v>460</v>
      </c>
      <c r="C3" s="5" t="n">
        <v>5247</v>
      </c>
      <c r="D3" s="5" t="n">
        <v>6595</v>
      </c>
      <c r="E3" s="7">
        <f>B3*D3</f>
        <v>3033700.0</v>
      </c>
      <c r="F3" s="7">
        <f>B3*C3</f>
        <v>2413620.0</v>
      </c>
      <c r="G3" s="7">
        <f>E3-F3</f>
        <v>620080.0</v>
      </c>
      <c r="H3" s="7">
        <f>F3*0.20*0.5</f>
        <v>241362.0</v>
      </c>
      <c r="I3" s="7">
        <f>G3-H3</f>
        <v>378718.0</v>
      </c>
      <c r="J3" s="4" t="inlineStr">
        <is>
          <t>ХЕДЖИРОВАТЬ</t>
        </is>
      </c>
    </row>
    <row r="4" ht="36" customHeight="1">
      <c r="A4" s="4" t="inlineStr">
        <is>
          <t>ДТ Дизель</t>
        </is>
      </c>
      <c r="B4" s="5" t="n">
        <v>100000</v>
      </c>
      <c r="C4" s="5" t="n">
        <v>11</v>
      </c>
      <c r="D4" s="5" t="n">
        <v>13.5</v>
      </c>
      <c r="E4" s="7">
        <f>B4*D4</f>
        <v>1350000.0</v>
      </c>
      <c r="F4" s="7">
        <f>B4*C4</f>
        <v>1100000.0</v>
      </c>
      <c r="G4" s="7">
        <f>E4-F4</f>
        <v>250000.0</v>
      </c>
      <c r="H4" s="7">
        <f>F4*0.20*0.5</f>
        <v>110000.0</v>
      </c>
      <c r="I4" s="7">
        <f>G4-H4</f>
        <v>140000.0</v>
      </c>
      <c r="J4" s="4" t="inlineStr">
        <is>
          <t>ХЕДЖИРОВАТЬ</t>
        </is>
      </c>
    </row>
    <row r="5" ht="36" customHeight="1">
      <c r="A5" s="4" t="inlineStr">
        <is>
          <t>Запчасти</t>
        </is>
      </c>
      <c r="B5" s="5" t="n">
        <v>1</v>
      </c>
      <c r="C5" s="5" t="n">
        <v>150000</v>
      </c>
      <c r="D5" s="5" t="n">
        <v>155000</v>
      </c>
      <c r="E5" s="7">
        <f>B5*D5</f>
        <v>155000.0</v>
      </c>
      <c r="F5" s="7">
        <f>B5*C5</f>
        <v>150000.0</v>
      </c>
      <c r="G5" s="7">
        <f>E5-F5</f>
        <v>5000.0</v>
      </c>
      <c r="H5" s="7">
        <f>F5*0.20*0.5</f>
        <v>15000.0</v>
      </c>
      <c r="I5" s="7">
        <f>G5-H5</f>
        <v>-10000.0</v>
      </c>
      <c r="J5" s="4" t="inlineStr">
        <is>
          <t>НЕ ХЕДЖИРОВАТЬ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7">
        <f>SUM(E2:E5)</f>
        <v>7513200.0</v>
      </c>
      <c r="F6" s="7">
        <f>SUM(F2:F5)</f>
        <v>6147200.0</v>
      </c>
      <c r="G6" s="7">
        <f>SUM(G2:G5)</f>
        <v>1366000.0</v>
      </c>
      <c r="H6" s="7">
        <f>SUM(H2:H5)</f>
        <v>614720.0</v>
      </c>
      <c r="I6" s="7">
        <f>SUM(I2:I5)</f>
        <v>751280.0</v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(Ресурс)</t>
        </is>
      </c>
      <c r="B1" s="3" t="inlineStr">
        <is>
          <t>B (Объём)</t>
        </is>
      </c>
      <c r="C1" s="3" t="inlineStr">
        <is>
          <t>C (Цена осень)</t>
        </is>
      </c>
      <c r="D1" s="3" t="inlineStr">
        <is>
          <t>D (Цена весна)</t>
        </is>
      </c>
      <c r="E1" s="3" t="inlineStr">
        <is>
          <t>E (Сумма весна)</t>
        </is>
      </c>
      <c r="F1" s="3" t="inlineStr">
        <is>
          <t>F (Сумма осень)</t>
        </is>
      </c>
      <c r="G1" s="3" t="inlineStr">
        <is>
          <t>G (Экономия)</t>
        </is>
      </c>
      <c r="H1" s="3" t="inlineStr">
        <is>
          <t>H (Плата за капитал)</t>
        </is>
      </c>
      <c r="I1" s="3" t="inlineStr">
        <is>
          <t>I (Чистый эффект)</t>
        </is>
      </c>
      <c r="J1" s="3" t="inlineStr">
        <is>
          <t>J (Решение)</t>
        </is>
      </c>
    </row>
    <row r="2" ht="36" customHeight="1">
      <c r="A2" s="4" t="inlineStr">
        <is>
          <t>Аммофос</t>
        </is>
      </c>
      <c r="B2" s="5" t="n">
        <v>300</v>
      </c>
      <c r="C2" s="5" t="n">
        <v>8278.6</v>
      </c>
      <c r="D2" s="5" t="n">
        <v>9915</v>
      </c>
      <c r="E2" s="7">
        <f>B2*D2</f>
        <v>2974500.0</v>
      </c>
      <c r="F2" s="7">
        <f>B2*C2</f>
        <v>2483580.0</v>
      </c>
      <c r="G2" s="7">
        <f>E2-F2</f>
        <v>490920.0</v>
      </c>
      <c r="H2" s="7">
        <f>F2*0.20*0.5</f>
        <v>248358.0</v>
      </c>
      <c r="I2" s="7">
        <f>G2-H2</f>
        <v>242562.0</v>
      </c>
      <c r="J2" s="7" t="str">
        <f>IF(I2&gt;0,"ХЕДЖИРОВАТЬ","НЕ ХЕДЖИРОВАТЬ")</f>
        <v>ХЕДЖИРОВАТЬ</v>
      </c>
    </row>
    <row r="3" ht="36" customHeight="1">
      <c r="A3" s="4" t="inlineStr">
        <is>
          <t>Карбамид</t>
        </is>
      </c>
      <c r="B3" s="5" t="n">
        <v>460</v>
      </c>
      <c r="C3" s="5" t="n">
        <v>5247</v>
      </c>
      <c r="D3" s="5" t="n">
        <v>6595</v>
      </c>
      <c r="E3" s="7">
        <f>B3*D3</f>
        <v>3033700.0</v>
      </c>
      <c r="F3" s="7">
        <f>B3*C3</f>
        <v>2413620.0</v>
      </c>
      <c r="G3" s="7">
        <f>E3-F3</f>
        <v>620080.0</v>
      </c>
      <c r="H3" s="7">
        <f>F3*0.20*0.5</f>
        <v>241362.0</v>
      </c>
      <c r="I3" s="7">
        <f>G3-H3</f>
        <v>378718.0</v>
      </c>
      <c r="J3" s="7" t="str">
        <f>IF(I3&gt;0,"ХЕДЖИРОВАТЬ","НЕ ХЕДЖИРОВАТЬ")</f>
        <v>ХЕДЖИРОВАТЬ</v>
      </c>
    </row>
    <row r="4" ht="36" customHeight="1">
      <c r="A4" s="4" t="inlineStr">
        <is>
          <t>ДТ Дизель</t>
        </is>
      </c>
      <c r="B4" s="5" t="n">
        <v>100000</v>
      </c>
      <c r="C4" s="5" t="n">
        <v>11</v>
      </c>
      <c r="D4" s="5" t="n">
        <v>13.5</v>
      </c>
      <c r="E4" s="7">
        <f>B4*D4</f>
        <v>1350000.0</v>
      </c>
      <c r="F4" s="7">
        <f>B4*C4</f>
        <v>1100000.0</v>
      </c>
      <c r="G4" s="7">
        <f>E4-F4</f>
        <v>250000.0</v>
      </c>
      <c r="H4" s="7">
        <f>F4*0.20*0.5</f>
        <v>110000.0</v>
      </c>
      <c r="I4" s="7">
        <f>G4-H4</f>
        <v>140000.0</v>
      </c>
      <c r="J4" s="7" t="str">
        <f>IF(I4&gt;0,"ХЕДЖИРОВАТЬ","НЕ ХЕДЖИРОВАТЬ")</f>
        <v>ХЕДЖИРОВАТЬ</v>
      </c>
    </row>
    <row r="5" ht="36" customHeight="1">
      <c r="A5" s="4" t="inlineStr">
        <is>
          <t>Запчасти</t>
        </is>
      </c>
      <c r="B5" s="5" t="n">
        <v>1</v>
      </c>
      <c r="C5" s="5" t="n">
        <v>150000</v>
      </c>
      <c r="D5" s="5" t="n">
        <v>155000</v>
      </c>
      <c r="E5" s="7">
        <f>B5*D5</f>
        <v>155000.0</v>
      </c>
      <c r="F5" s="7">
        <f>B5*C5</f>
        <v>150000.0</v>
      </c>
      <c r="G5" s="7">
        <f>E5-F5</f>
        <v>5000.0</v>
      </c>
      <c r="H5" s="7">
        <f>F5*0.20*0.5</f>
        <v>15000.0</v>
      </c>
      <c r="I5" s="7">
        <f>G5-H5</f>
        <v>-10000.0</v>
      </c>
      <c r="J5" s="7" t="str">
        <f>IF(I5&gt;0,"ХЕДЖИРОВАТЬ","НЕ ХЕДЖИРОВАТЬ")</f>
        <v>НЕ ХЕДЖИРОВАТЬ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7">
        <f>SUM(E2:E5)</f>
        <v>7513200.0</v>
      </c>
      <c r="F6" s="7">
        <f>SUM(F2:F5)</f>
        <v>6147200.0</v>
      </c>
      <c r="G6" s="7">
        <f>SUM(G2:G5)</f>
        <v>1366000.0</v>
      </c>
      <c r="H6" s="7">
        <f>SUM(H2:H5)</f>
        <v>614720.0</v>
      </c>
      <c r="I6" s="7">
        <f>SUM(I2:I5)</f>
        <v>751280.0</v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(Культура)</t>
        </is>
      </c>
      <c r="B1" s="3" t="inlineStr">
        <is>
          <t>B (Площадь, га)</t>
        </is>
      </c>
      <c r="C1" s="3" t="inlineStr">
        <is>
          <t>C (Затраты, сом/га)</t>
        </is>
      </c>
      <c r="D1" s="3" t="inlineStr">
        <is>
          <t>D (Страховая сумма, сом)</t>
        </is>
      </c>
      <c r="E1" s="3" t="inlineStr">
        <is>
          <t>E (Тариф, %)</t>
        </is>
      </c>
      <c r="F1" s="3" t="inlineStr">
        <is>
          <t>F (Премия, сом)</t>
        </is>
      </c>
      <c r="G1" s="3" t="inlineStr">
        <is>
          <t>G (Вероятность рисков, %)</t>
        </is>
      </c>
      <c r="H1" s="3" t="inlineStr">
        <is>
          <t>H (Ущерб при наступл., сом)</t>
        </is>
      </c>
      <c r="I1" s="3" t="inlineStr">
        <is>
          <t>I (Ожид. убыток, сом)</t>
        </is>
      </c>
      <c r="J1" s="3" t="inlineStr">
        <is>
          <t>J (Решение)</t>
        </is>
      </c>
    </row>
    <row r="2" ht="36" customHeight="1">
      <c r="A2" s="4" t="inlineStr">
        <is>
          <t>Хлопок</t>
        </is>
      </c>
      <c r="B2" s="5" t="n">
        <v>1350</v>
      </c>
      <c r="C2" s="5" t="n">
        <v>15050</v>
      </c>
      <c r="D2" s="7">
        <f>B2*C2</f>
        <v>20317500.0</v>
      </c>
      <c r="E2" s="9" t="n">
        <v>0.03</v>
      </c>
      <c r="F2" s="7">
        <f>D2*E2</f>
        <v>609525.0</v>
      </c>
      <c r="G2" s="9" t="n">
        <v>0.1</v>
      </c>
      <c r="H2" s="5" t="n">
        <v>6000000</v>
      </c>
      <c r="I2" s="7">
        <f>G2*H2</f>
        <v>600000.0</v>
      </c>
      <c r="J2" s="4" t="inlineStr">
        <is>
          <t>Сравнить покрытие, премию, капитал и альтернативы</t>
        </is>
      </c>
    </row>
    <row r="3" ht="36" customHeight="1">
      <c r="A3" s="4" t="inlineStr">
        <is>
          <t>Пшеница</t>
        </is>
      </c>
      <c r="B3" s="5" t="n">
        <v>189</v>
      </c>
      <c r="C3" s="5" t="n">
        <v>4700</v>
      </c>
      <c r="D3" s="7">
        <f>B3*C3</f>
        <v>888300.0</v>
      </c>
      <c r="E3" s="9" t="n">
        <v>0.04</v>
      </c>
      <c r="F3" s="7">
        <f>D3*E3</f>
        <v>35532.0</v>
      </c>
      <c r="G3" s="9" t="n">
        <v>0.08</v>
      </c>
      <c r="H3" s="5" t="n">
        <v>500000</v>
      </c>
      <c r="I3" s="7">
        <f>G3*H3</f>
        <v>40000.0</v>
      </c>
      <c r="J3" s="4" t="inlineStr">
        <is>
          <t>Сравнить покрытие, премию, капитал и альтернативы</t>
        </is>
      </c>
    </row>
    <row r="4" ht="36" customHeight="1">
      <c r="A4" s="4" t="inlineStr">
        <is>
          <t>Ячмень</t>
        </is>
      </c>
      <c r="B4" s="5" t="n">
        <v>104</v>
      </c>
      <c r="C4" s="5" t="n">
        <v>4200</v>
      </c>
      <c r="D4" s="7">
        <f>B4*C4</f>
        <v>436800.0</v>
      </c>
      <c r="E4" s="9" t="n">
        <v>0.04</v>
      </c>
      <c r="F4" s="7">
        <f>D4*E4</f>
        <v>17472.0</v>
      </c>
      <c r="G4" s="9" t="n">
        <v>0.05</v>
      </c>
      <c r="H4" s="5" t="n">
        <v>200000</v>
      </c>
      <c r="I4" s="7">
        <f>G4*H4</f>
        <v>10000.0</v>
      </c>
      <c r="J4" s="4" t="inlineStr">
        <is>
          <t>Сравнить покрытие, премию, капитал и альтернативы</t>
        </is>
      </c>
    </row>
    <row r="5" ht="36" customHeight="1">
      <c r="A5" s="4" t="inlineStr">
        <is>
          <t>Люцерна</t>
        </is>
      </c>
      <c r="B5" s="5" t="n">
        <v>150</v>
      </c>
      <c r="C5" s="5" t="n">
        <v>2500</v>
      </c>
      <c r="D5" s="7">
        <f>B5*C5</f>
        <v>375000.0</v>
      </c>
      <c r="E5" s="9" t="n">
        <v>0.02</v>
      </c>
      <c r="F5" s="7">
        <f>D5*E5</f>
        <v>7500.0</v>
      </c>
      <c r="G5" s="9" t="n">
        <v>0.02</v>
      </c>
      <c r="H5" s="5" t="n">
        <v>100000</v>
      </c>
      <c r="I5" s="7">
        <f>G5*H5</f>
        <v>2000.0</v>
      </c>
      <c r="J5" s="4" t="inlineStr">
        <is>
          <t>Сравнить покрытие, премию, капитал и альтернативы</t>
        </is>
      </c>
    </row>
    <row r="6" ht="36" customHeight="1">
      <c r="A6" s="4" t="inlineStr">
        <is>
          <t>ИТОГО</t>
        </is>
      </c>
      <c r="B6" s="5" t="n">
        <v>1793</v>
      </c>
      <c r="C6" s="4" t="inlineStr">
        <is>
          <t>—</t>
        </is>
      </c>
      <c r="D6" s="7">
        <f>SUM(D2:D5)</f>
        <v>22017600.0</v>
      </c>
      <c r="E6" s="4" t="inlineStr">
        <is>
          <t>—</t>
        </is>
      </c>
      <c r="F6" s="7">
        <f>SUM(F2:F5)</f>
        <v>670029.0</v>
      </c>
      <c r="G6" s="4" t="inlineStr">
        <is>
          <t>—</t>
        </is>
      </c>
      <c r="H6" s="4" t="inlineStr">
        <is>
          <t>—</t>
        </is>
      </c>
      <c r="I6" s="7">
        <f>SUM(I2:I5)</f>
        <v>652000.0</v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Сравнение премии только с ожидаемым убытком недостаточно: страхование защищает ликвидность и капитал. Учитывают франшизу, лимит, исключения и базисный риск индексного продукта. Порог 1,05 в исходной модели не является правилом оптимального выбора.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(Культура)</t>
        </is>
      </c>
      <c r="B1" s="3" t="inlineStr">
        <is>
          <t>B (Площадь)</t>
        </is>
      </c>
      <c r="C1" s="3" t="inlineStr">
        <is>
          <t>C (Затраты)</t>
        </is>
      </c>
      <c r="D1" s="3" t="inlineStr">
        <is>
          <t>D (Страховая сумма)</t>
        </is>
      </c>
      <c r="E1" s="3" t="inlineStr">
        <is>
          <t>E (Тариф)</t>
        </is>
      </c>
      <c r="F1" s="3" t="inlineStr">
        <is>
          <t>F (Премия, сом)</t>
        </is>
      </c>
      <c r="G1" s="3" t="inlineStr">
        <is>
          <t>G (Вероятность)</t>
        </is>
      </c>
      <c r="H1" s="3" t="inlineStr">
        <is>
          <t>H (Ущерб при наступл.)</t>
        </is>
      </c>
      <c r="I1" s="3" t="inlineStr">
        <is>
          <t>I (Ожид. убыток, сом)</t>
        </is>
      </c>
      <c r="J1" s="3" t="inlineStr">
        <is>
          <t>J (Решение)</t>
        </is>
      </c>
    </row>
    <row r="2" ht="36" customHeight="1">
      <c r="A2" s="4" t="inlineStr">
        <is>
          <t>Хлопок</t>
        </is>
      </c>
      <c r="B2" s="5" t="n">
        <v>1350</v>
      </c>
      <c r="C2" s="5" t="n">
        <v>15050</v>
      </c>
      <c r="D2" s="7">
        <f>B2*C2</f>
        <v>20317500.0</v>
      </c>
      <c r="E2" s="9" t="n">
        <v>0.03</v>
      </c>
      <c r="F2" s="7">
        <f>D2*E2</f>
        <v>609525.0</v>
      </c>
      <c r="G2" s="9" t="n">
        <v>0.1</v>
      </c>
      <c r="H2" s="5" t="n">
        <v>6000000</v>
      </c>
      <c r="I2" s="7">
        <f>G2*H2</f>
        <v>600000.0</v>
      </c>
      <c r="J2" s="4" t="inlineStr">
        <is>
          <t>Сравнить покрытие, премию, капитал и альтернативы</t>
        </is>
      </c>
    </row>
    <row r="3" ht="36" customHeight="1">
      <c r="A3" s="4" t="inlineStr">
        <is>
          <t>Пшеница</t>
        </is>
      </c>
      <c r="B3" s="5" t="n">
        <v>189</v>
      </c>
      <c r="C3" s="5" t="n">
        <v>4700</v>
      </c>
      <c r="D3" s="7">
        <f>B3*C3</f>
        <v>888300.0</v>
      </c>
      <c r="E3" s="9" t="n">
        <v>0.04</v>
      </c>
      <c r="F3" s="7">
        <f>D3*E3</f>
        <v>35532.0</v>
      </c>
      <c r="G3" s="9" t="n">
        <v>0.08</v>
      </c>
      <c r="H3" s="5" t="n">
        <v>500000</v>
      </c>
      <c r="I3" s="7">
        <f>G3*H3</f>
        <v>40000.0</v>
      </c>
      <c r="J3" s="4" t="inlineStr">
        <is>
          <t>Сравнить покрытие, премию, капитал и альтернативы</t>
        </is>
      </c>
    </row>
    <row r="4" ht="36" customHeight="1">
      <c r="A4" s="4" t="inlineStr">
        <is>
          <t>Ячмень</t>
        </is>
      </c>
      <c r="B4" s="5" t="n">
        <v>104</v>
      </c>
      <c r="C4" s="5" t="n">
        <v>4200</v>
      </c>
      <c r="D4" s="7">
        <f>B4*C4</f>
        <v>436800.0</v>
      </c>
      <c r="E4" s="9" t="n">
        <v>0.04</v>
      </c>
      <c r="F4" s="7">
        <f>D4*E4</f>
        <v>17472.0</v>
      </c>
      <c r="G4" s="9" t="n">
        <v>0.05</v>
      </c>
      <c r="H4" s="5" t="n">
        <v>200000</v>
      </c>
      <c r="I4" s="7">
        <f>G4*H4</f>
        <v>10000.0</v>
      </c>
      <c r="J4" s="4" t="inlineStr">
        <is>
          <t>Сравнить покрытие, премию, капитал и альтернативы</t>
        </is>
      </c>
    </row>
    <row r="5" ht="36" customHeight="1">
      <c r="A5" s="4" t="inlineStr">
        <is>
          <t>Люцерна</t>
        </is>
      </c>
      <c r="B5" s="5" t="n">
        <v>150</v>
      </c>
      <c r="C5" s="5" t="n">
        <v>2500</v>
      </c>
      <c r="D5" s="7">
        <f>B5*C5</f>
        <v>375000.0</v>
      </c>
      <c r="E5" s="9" t="n">
        <v>0.02</v>
      </c>
      <c r="F5" s="7">
        <f>D5*E5</f>
        <v>7500.0</v>
      </c>
      <c r="G5" s="9" t="n">
        <v>0.02</v>
      </c>
      <c r="H5" s="5" t="n">
        <v>100000</v>
      </c>
      <c r="I5" s="7">
        <f>G5*H5</f>
        <v>2000.0</v>
      </c>
      <c r="J5" s="4" t="inlineStr">
        <is>
          <t>Сравнить покрытие, премию, капитал и альтернативы</t>
        </is>
      </c>
    </row>
    <row r="6" ht="36" customHeight="1">
      <c r="A6" s="4" t="inlineStr">
        <is>
          <t>ИТОГО</t>
        </is>
      </c>
      <c r="B6" s="7">
        <f>SUM(B2:B5)</f>
        <v>1793.0</v>
      </c>
      <c r="C6" s="4" t="inlineStr">
        <is>
          <t>—</t>
        </is>
      </c>
      <c r="D6" s="7">
        <f>SUM(D2:D5)</f>
        <v>22017600.0</v>
      </c>
      <c r="E6" s="4" t="inlineStr">
        <is>
          <t>—</t>
        </is>
      </c>
      <c r="F6" s="7">
        <f>SUM(F2:F5)</f>
        <v>670029.0</v>
      </c>
      <c r="G6" s="4" t="inlineStr">
        <is>
          <t>—</t>
        </is>
      </c>
      <c r="H6" s="4" t="inlineStr">
        <is>
          <t>—</t>
        </is>
      </c>
      <c r="I6" s="7">
        <f>SUM(I2:I5)</f>
        <v>652000.0</v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Сравнение премии только с ожидаемым убытком недостаточно: страхование защищает ликвидность и капитал. Учитывают франшизу, лимит, исключения и базисный риск индексного продукта. Порог 1,05 в исходной модели не является правилом оптимального выбора.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(Статья / Культура)</t>
        </is>
      </c>
      <c r="B1" s="3" t="inlineStr">
        <is>
          <t>B (Площадь, га)</t>
        </is>
      </c>
      <c r="C1" s="3" t="inlineStr">
        <is>
          <t>C (Затраты баз., сом/га)</t>
        </is>
      </c>
      <c r="D1" s="3" t="inlineStr">
        <is>
          <t>D (Субсидия семена, сом)</t>
        </is>
      </c>
      <c r="E1" s="3" t="inlineStr">
        <is>
          <t>E (Субсидия удобр., сом)</t>
        </is>
      </c>
      <c r="F1" s="3" t="inlineStr">
        <is>
          <t>F (Субсидия страх., сом)</t>
        </is>
      </c>
      <c r="G1" s="3" t="inlineStr">
        <is>
          <t>G (Всего субсидий, сом)</t>
        </is>
      </c>
      <c r="H1" s="3" t="inlineStr">
        <is>
          <t>H (Эффект. затраты, сом/га)</t>
        </is>
      </c>
      <c r="I1" s="3" t="inlineStr">
        <is>
          <t>I (Урожайность, ц/га)</t>
        </is>
      </c>
      <c r="J1" s="3" t="inlineStr">
        <is>
          <t>J (Эффект. себест., сом/ц)</t>
        </is>
      </c>
    </row>
    <row r="2" ht="36" customHeight="1">
      <c r="A2" s="4" t="inlineStr">
        <is>
          <t>Хлопок (ПК)</t>
        </is>
      </c>
      <c r="B2" s="5" t="n">
        <v>1350</v>
      </c>
      <c r="C2" s="5" t="n">
        <v>14800</v>
      </c>
      <c r="D2" s="5" t="n">
        <v>0</v>
      </c>
      <c r="E2" s="5" t="n">
        <v>1045000</v>
      </c>
      <c r="F2" s="5" t="n">
        <v>304500</v>
      </c>
      <c r="G2" s="7">
        <f>SUM(D2:F2)</f>
        <v>1349500.0</v>
      </c>
      <c r="H2" s="7">
        <f>C2-(G2/B2)</f>
        <v>13800.37037037037</v>
      </c>
      <c r="I2" s="5" t="n">
        <v>30</v>
      </c>
      <c r="J2" s="7">
        <f>H2/I2</f>
        <v>460.01234567901236</v>
      </c>
    </row>
    <row r="3" ht="36" customHeight="1">
      <c r="A3" s="4" t="inlineStr">
        <is>
          <t>Пшеница</t>
        </is>
      </c>
      <c r="B3" s="5" t="n">
        <v>189</v>
      </c>
      <c r="C3" s="5" t="n">
        <v>4700</v>
      </c>
      <c r="D3" s="5" t="n">
        <v>77962.5</v>
      </c>
      <c r="E3" s="5" t="n">
        <v>118125</v>
      </c>
      <c r="F3" s="5" t="n">
        <v>0</v>
      </c>
      <c r="G3" s="7">
        <f>SUM(D3:F3)</f>
        <v>196087.5</v>
      </c>
      <c r="H3" s="7">
        <f>C3-(G3/B3)</f>
        <v>3662.5</v>
      </c>
      <c r="I3" s="5" t="n">
        <v>25</v>
      </c>
      <c r="J3" s="7">
        <f>H3/I3</f>
        <v>146.5</v>
      </c>
    </row>
    <row r="4" ht="36" customHeight="1">
      <c r="A4" s="4" t="inlineStr">
        <is>
          <t>Ячмень</t>
        </is>
      </c>
      <c r="B4" s="5" t="n">
        <v>104</v>
      </c>
      <c r="C4" s="5" t="n">
        <v>4200</v>
      </c>
      <c r="D4" s="5" t="n">
        <v>26000</v>
      </c>
      <c r="E4" s="5" t="n">
        <v>41600</v>
      </c>
      <c r="F4" s="5" t="n">
        <v>0</v>
      </c>
      <c r="G4" s="7">
        <f>SUM(D4:F4)</f>
        <v>67600.0</v>
      </c>
      <c r="H4" s="7">
        <f>C4-(G4/B4)</f>
        <v>3550.0</v>
      </c>
      <c r="I4" s="5" t="n">
        <v>22</v>
      </c>
      <c r="J4" s="7">
        <f>H4/I4</f>
        <v>161.36363636363637</v>
      </c>
    </row>
    <row r="5" ht="36" customHeight="1">
      <c r="A5" s="4" t="inlineStr">
        <is>
          <t>Люцерна</t>
        </is>
      </c>
      <c r="B5" s="5" t="n">
        <v>150</v>
      </c>
      <c r="C5" s="5" t="n">
        <v>2500</v>
      </c>
      <c r="D5" s="5" t="n">
        <v>0</v>
      </c>
      <c r="E5" s="5" t="n">
        <v>0</v>
      </c>
      <c r="F5" s="5" t="n">
        <v>0</v>
      </c>
      <c r="G5" s="5" t="n">
        <v>0</v>
      </c>
      <c r="H5" s="7">
        <f>C5-(G5/B5)</f>
        <v>2500.0</v>
      </c>
      <c r="I5" s="5" t="n">
        <v>60</v>
      </c>
      <c r="J5" s="7">
        <f>H5/I5</f>
        <v>41.666666666666664</v>
      </c>
    </row>
    <row r="6" ht="36" customHeight="1">
      <c r="A6" s="4" t="inlineStr">
        <is>
          <t>ИТОГО</t>
        </is>
      </c>
      <c r="B6" s="5" t="n">
        <v>1793</v>
      </c>
      <c r="C6" s="4" t="inlineStr">
        <is>
          <t>—</t>
        </is>
      </c>
      <c r="D6" s="5" t="n">
        <v>103962.5</v>
      </c>
      <c r="E6" s="5" t="n">
        <v>1204725</v>
      </c>
      <c r="F6" s="5" t="n">
        <v>304500</v>
      </c>
      <c r="G6" s="7">
        <f>SUM(G2:G5)</f>
        <v>1613187.5</v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Льготы и субсидии — только условный сценарий расчёта; наличие права, лимитов, совместимость программ и сроки поступления нужно подтверждать по действующим правилам. Не учитывайте неподтверждённую субсидию как гарантированный денежный поток.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(Статья)</t>
        </is>
      </c>
      <c r="B1" s="3" t="inlineStr">
        <is>
          <t>B (Площадь)</t>
        </is>
      </c>
      <c r="C1" s="3" t="inlineStr">
        <is>
          <t>C (Затраты баз)</t>
        </is>
      </c>
      <c r="D1" s="3" t="inlineStr">
        <is>
          <t>D (Субс. семена)</t>
        </is>
      </c>
      <c r="E1" s="3" t="inlineStr">
        <is>
          <t>E (Субс. удобр)</t>
        </is>
      </c>
      <c r="F1" s="3" t="inlineStr">
        <is>
          <t>F (Субс. страх)</t>
        </is>
      </c>
      <c r="G1" s="3" t="inlineStr">
        <is>
          <t>G (Всего субсидий)</t>
        </is>
      </c>
      <c r="H1" s="3" t="inlineStr">
        <is>
          <t>H (Эффект. затраты)</t>
        </is>
      </c>
      <c r="I1" s="3" t="inlineStr">
        <is>
          <t>I (Урожайность)</t>
        </is>
      </c>
      <c r="J1" s="3" t="inlineStr">
        <is>
          <t>J (Эффект. себест)</t>
        </is>
      </c>
    </row>
    <row r="2" ht="36" customHeight="1">
      <c r="A2" s="4" t="inlineStr">
        <is>
          <t>Хлопок (ПК)</t>
        </is>
      </c>
      <c r="B2" s="5" t="n">
        <v>1350</v>
      </c>
      <c r="C2" s="5" t="n">
        <v>14800</v>
      </c>
      <c r="D2" s="5" t="n">
        <v>0</v>
      </c>
      <c r="E2" s="5" t="n">
        <v>1045000</v>
      </c>
      <c r="F2" s="5" t="n">
        <v>304500</v>
      </c>
      <c r="G2" s="7">
        <f>SUM(D2:F2)</f>
        <v>1349500.0</v>
      </c>
      <c r="H2" s="7">
        <f>C2-(G2/B2)</f>
        <v>13800.37037037037</v>
      </c>
      <c r="I2" s="5" t="n">
        <v>30</v>
      </c>
      <c r="J2" s="7">
        <f>H2/I2</f>
        <v>460.01234567901236</v>
      </c>
    </row>
    <row r="3" ht="36" customHeight="1">
      <c r="A3" s="4" t="inlineStr">
        <is>
          <t>Пшеница</t>
        </is>
      </c>
      <c r="B3" s="5" t="n">
        <v>189</v>
      </c>
      <c r="C3" s="5" t="n">
        <v>4700</v>
      </c>
      <c r="D3" s="5" t="n">
        <v>77962.5</v>
      </c>
      <c r="E3" s="5" t="n">
        <v>118125</v>
      </c>
      <c r="F3" s="5" t="n">
        <v>0</v>
      </c>
      <c r="G3" s="7">
        <f>SUM(D3:F3)</f>
        <v>196087.5</v>
      </c>
      <c r="H3" s="7">
        <f>C3-(G3/B3)</f>
        <v>3662.5</v>
      </c>
      <c r="I3" s="5" t="n">
        <v>25</v>
      </c>
      <c r="J3" s="7">
        <f>H3/I3</f>
        <v>146.5</v>
      </c>
    </row>
    <row r="4" ht="36" customHeight="1">
      <c r="A4" s="4" t="inlineStr">
        <is>
          <t>Ячмень</t>
        </is>
      </c>
      <c r="B4" s="5" t="n">
        <v>104</v>
      </c>
      <c r="C4" s="5" t="n">
        <v>4200</v>
      </c>
      <c r="D4" s="5" t="n">
        <v>26000</v>
      </c>
      <c r="E4" s="5" t="n">
        <v>41600</v>
      </c>
      <c r="F4" s="5" t="n">
        <v>0</v>
      </c>
      <c r="G4" s="7">
        <f>SUM(D4:F4)</f>
        <v>67600.0</v>
      </c>
      <c r="H4" s="7">
        <f>C4-(G4/B4)</f>
        <v>3550.0</v>
      </c>
      <c r="I4" s="5" t="n">
        <v>22</v>
      </c>
      <c r="J4" s="7">
        <f>H4/I4</f>
        <v>161.36363636363637</v>
      </c>
    </row>
    <row r="5" ht="36" customHeight="1">
      <c r="A5" s="4" t="inlineStr">
        <is>
          <t>Люцерна</t>
        </is>
      </c>
      <c r="B5" s="5" t="n">
        <v>150</v>
      </c>
      <c r="C5" s="5" t="n">
        <v>2500</v>
      </c>
      <c r="D5" s="5" t="n">
        <v>0</v>
      </c>
      <c r="E5" s="5" t="n">
        <v>0</v>
      </c>
      <c r="F5" s="5" t="n">
        <v>0</v>
      </c>
      <c r="G5" s="5" t="n">
        <v>0</v>
      </c>
      <c r="H5" s="7">
        <f>C5-(G5/B5)</f>
        <v>2500.0</v>
      </c>
      <c r="I5" s="5" t="n">
        <v>60</v>
      </c>
      <c r="J5" s="7">
        <f>H5/I5</f>
        <v>41.666666666666664</v>
      </c>
    </row>
    <row r="6" ht="36" customHeight="1">
      <c r="A6" s="4" t="inlineStr">
        <is>
          <t>ИТОГО</t>
        </is>
      </c>
      <c r="B6" s="7">
        <f>SUM(B2:B5)</f>
        <v>1793.0</v>
      </c>
      <c r="C6" s="4" t="inlineStr">
        <is>
          <t>—</t>
        </is>
      </c>
      <c r="D6" s="7">
        <f>SUM(D2:D5)</f>
        <v>103962.5</v>
      </c>
      <c r="E6" s="7">
        <f>SUM(E2:E5)</f>
        <v>1204725.0</v>
      </c>
      <c r="F6" s="7">
        <f>SUM(F2:F5)</f>
        <v>304500.0</v>
      </c>
      <c r="G6" s="7">
        <f>SUM(G2:G5)</f>
        <v>1613187.5</v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Льготы и субсидии — только условный сценарий расчёта; наличие права, лимитов, совместимость программ и сроки поступления нужно подтверждать по действующим правилам. Не учитывайте неподтверждённую субсидию как гарантированный денежный поток.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Позиция</t>
        </is>
      </c>
      <c r="B1" s="3" t="inlineStr">
        <is>
          <t>База</t>
        </is>
      </c>
      <c r="C1" s="3" t="inlineStr">
        <is>
          <t>Условная ставка</t>
        </is>
      </c>
      <c r="D1" s="3" t="inlineStr">
        <is>
          <t>Расчёт, сом</t>
        </is>
      </c>
      <c r="E1" s="3" t="inlineStr">
        <is>
          <t>Экономический смысл</t>
        </is>
      </c>
    </row>
    <row r="2" ht="36" customHeight="1">
      <c r="A2" s="4" t="inlineStr">
        <is>
          <t>Взнос работодателя</t>
        </is>
      </c>
      <c r="B2" s="5" t="n">
        <v>6852600</v>
      </c>
      <c r="C2" s="5" t="n">
        <v>0.25</v>
      </c>
      <c r="D2" s="7">
        <f>B2*C2</f>
        <v>1713150.0</v>
      </c>
      <c r="E2" s="4" t="inlineStr">
        <is>
          <t>Дополнительный расход при данном допущении</t>
        </is>
      </c>
    </row>
    <row r="3" ht="36" customHeight="1">
      <c r="A3" s="4" t="inlineStr">
        <is>
          <t>Удержание из начисленной зарплаты</t>
        </is>
      </c>
      <c r="B3" s="5" t="n">
        <v>6852600</v>
      </c>
      <c r="C3" s="5" t="n">
        <v>0.12</v>
      </c>
      <c r="D3" s="7">
        <f>B3*C3</f>
        <v>822312.0</v>
      </c>
      <c r="E3" s="4" t="inlineStr">
        <is>
          <t>Часть gross-зарплаты, не повторный расход</t>
        </is>
      </c>
    </row>
    <row r="4" ht="36" customHeight="1">
      <c r="A4" s="4" t="inlineStr">
        <is>
          <t>Площадь, га; ставка сом/га</t>
        </is>
      </c>
      <c r="B4" s="5" t="n">
        <v>1350</v>
      </c>
      <c r="C4" s="5" t="n">
        <v>220</v>
      </c>
      <c r="D4" s="7">
        <f>B4*C4</f>
        <v>297000</v>
      </c>
      <c r="E4" s="4" t="inlineStr">
        <is>
          <t>Налог на площадь: условный годовой расчёт</t>
        </is>
      </c>
    </row>
    <row r="5" ht="36" customHeight="1">
      <c r="A5" s="4" t="inlineStr">
        <is>
          <t>Входной налог по покупке</t>
        </is>
      </c>
      <c r="B5" s="5" t="n">
        <v>825000</v>
      </c>
      <c r="C5" s="5" t="n">
        <v>0.14</v>
      </c>
      <c r="D5" s="7">
        <f>B5*C5</f>
        <v>115500.00000000001</v>
      </c>
      <c r="E5" s="4" t="inlineStr">
        <is>
          <t>Право на вычет/льготу отдельно проверяется</t>
        </is>
      </c>
    </row>
    <row r="8">
      <c r="A8" t="inlineStr">
        <is>
          <t>Пояснение</t>
        </is>
      </c>
    </row>
    <row r="9">
      <c r="A9" s="6" t="inlineStr">
        <is>
          <t>Все ставки — параметры учебного сценария, не действующие ставки законодательства. Период базы должен совпадать с периодом расчёта. Общий итог не выводится: удержание работника, расход работодателя и возмещаемый входной налог имеют разную экономическую природу.</t>
        </is>
      </c>
    </row>
    <row r="10"/>
    <row r="11"/>
  </sheetData>
  <autoFilter ref="A1:E5"/>
  <mergeCells count="1">
    <mergeCell ref="A9:E11"/>
  </mergeCells>
  <pageMargins left="0.75" right="0.75" top="1" bottom="1" header="0.5" footer="0.5"/>
  <pageSetup orientation="landscape" paperSize="9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Позиция</t>
        </is>
      </c>
      <c r="B1" s="3" t="inlineStr">
        <is>
          <t>База</t>
        </is>
      </c>
      <c r="C1" s="3" t="inlineStr">
        <is>
          <t>Условная ставка</t>
        </is>
      </c>
      <c r="D1" s="3" t="inlineStr">
        <is>
          <t>Расчёт, сом</t>
        </is>
      </c>
      <c r="E1" s="3" t="inlineStr">
        <is>
          <t>Экономический смысл</t>
        </is>
      </c>
    </row>
    <row r="2" ht="36" customHeight="1">
      <c r="A2" s="4" t="inlineStr">
        <is>
          <t>Взнос работодателя</t>
        </is>
      </c>
      <c r="B2" s="5" t="n">
        <v>6852600</v>
      </c>
      <c r="C2" s="5" t="n">
        <v>0.25</v>
      </c>
      <c r="D2" s="7">
        <f>B2*C2</f>
        <v>1713150.0</v>
      </c>
      <c r="E2" s="4" t="inlineStr">
        <is>
          <t>Дополнительный расход при данном допущении</t>
        </is>
      </c>
    </row>
    <row r="3" ht="36" customHeight="1">
      <c r="A3" s="4" t="inlineStr">
        <is>
          <t>Удержание из начисленной зарплаты</t>
        </is>
      </c>
      <c r="B3" s="5" t="n">
        <v>6852600</v>
      </c>
      <c r="C3" s="5" t="n">
        <v>0.12</v>
      </c>
      <c r="D3" s="7">
        <f>B3*C3</f>
        <v>822312.0</v>
      </c>
      <c r="E3" s="4" t="inlineStr">
        <is>
          <t>Часть gross-зарплаты, не повторный расход</t>
        </is>
      </c>
    </row>
    <row r="4" ht="36" customHeight="1">
      <c r="A4" s="4" t="inlineStr">
        <is>
          <t>Площадь, га; ставка сом/га</t>
        </is>
      </c>
      <c r="B4" s="5" t="n">
        <v>1350</v>
      </c>
      <c r="C4" s="5" t="n">
        <v>220</v>
      </c>
      <c r="D4" s="7">
        <f>B4*C4</f>
        <v>297000</v>
      </c>
      <c r="E4" s="4" t="inlineStr">
        <is>
          <t>Налог на площадь: условный годовой расчёт</t>
        </is>
      </c>
    </row>
    <row r="5" ht="36" customHeight="1">
      <c r="A5" s="4" t="inlineStr">
        <is>
          <t>Входной налог по покупке</t>
        </is>
      </c>
      <c r="B5" s="5" t="n">
        <v>825000</v>
      </c>
      <c r="C5" s="5" t="n">
        <v>0.14</v>
      </c>
      <c r="D5" s="7">
        <f>B5*C5</f>
        <v>115500.00000000001</v>
      </c>
      <c r="E5" s="4" t="inlineStr">
        <is>
          <t>Право на вычет/льготу отдельно проверяется</t>
        </is>
      </c>
    </row>
    <row r="8">
      <c r="A8" t="inlineStr">
        <is>
          <t>Пояснение</t>
        </is>
      </c>
    </row>
    <row r="9">
      <c r="A9" s="6" t="inlineStr">
        <is>
          <t>Все ставки — параметры учебного сценария, не действующие ставки законодательства. Период базы должен совпадать с периодом расчёта. Общий итог не выводится: удержание работника, расход работодателя и возмещаемый входной налог имеют разную экономическую природу.</t>
        </is>
      </c>
    </row>
    <row r="10"/>
    <row r="11"/>
  </sheetData>
  <autoFilter ref="A1:E5"/>
  <mergeCells count="1">
    <mergeCell ref="A9:E11"/>
  </mergeCells>
  <pageMargins left="0.75" right="0.75" top="1" bottom="1" header="0.5" footer="0.5"/>
  <pageSetup orientation="landscape" paperSize="9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(Технология)</t>
        </is>
      </c>
      <c r="B1" s="3" t="inlineStr">
        <is>
          <t>B (CAPEX, сом)</t>
        </is>
      </c>
      <c r="C1" s="3" t="inlineStr">
        <is>
          <t>C (Затраты баз., сом)</t>
        </is>
      </c>
      <c r="D1" s="3" t="inlineStr">
        <is>
          <t>D (Снижение потерь, %)</t>
        </is>
      </c>
      <c r="E1" s="3" t="inlineStr">
        <is>
          <t>E (Экономия, сом/год)</t>
        </is>
      </c>
      <c r="F1" s="3" t="inlineStr">
        <is>
          <t>F (OPEX подд., сом/год)</t>
        </is>
      </c>
      <c r="G1" s="3" t="inlineStr">
        <is>
          <t>G (Чистый поток, сом/год)</t>
        </is>
      </c>
      <c r="H1" s="3" t="inlineStr">
        <is>
          <t>H (Payback, лет)</t>
        </is>
      </c>
      <c r="I1" s="3" t="inlineStr">
        <is>
          <t>I (Payback, мес)</t>
        </is>
      </c>
      <c r="J1" s="3" t="inlineStr">
        <is>
          <t>J (Решение)</t>
        </is>
      </c>
    </row>
    <row r="2" ht="36" customHeight="1">
      <c r="A2" s="4" t="inlineStr">
        <is>
          <t>GPS + ДУТ на ГСМ</t>
        </is>
      </c>
      <c r="B2" s="5" t="n">
        <v>50000</v>
      </c>
      <c r="C2" s="5" t="n">
        <v>2000000</v>
      </c>
      <c r="D2" s="9" t="n">
        <v>0.1</v>
      </c>
      <c r="E2" s="7">
        <f>C2*D2</f>
        <v>200000.0</v>
      </c>
      <c r="F2" s="5" t="n">
        <v>10000</v>
      </c>
      <c r="G2" s="7">
        <f>E2-F2</f>
        <v>190000.0</v>
      </c>
      <c r="H2" s="7">
        <f>B2/G2</f>
        <v>0.2631578947368421</v>
      </c>
      <c r="I2" s="7">
        <f>H2*12</f>
        <v>3.1578947368421053</v>
      </c>
      <c r="J2" s="4" t="inlineStr">
        <is>
          <t>ОЦЕНИТЬ NPV</t>
        </is>
      </c>
    </row>
    <row r="3" ht="36" customHeight="1">
      <c r="A3" s="4" t="inlineStr">
        <is>
          <t>Весовая авто-база</t>
        </is>
      </c>
      <c r="B3" s="5" t="n">
        <v>35000</v>
      </c>
      <c r="C3" s="5" t="n">
        <v>3000000</v>
      </c>
      <c r="D3" s="9" t="n">
        <v>0.03</v>
      </c>
      <c r="E3" s="7">
        <f>C3*D3</f>
        <v>90000.0</v>
      </c>
      <c r="F3" s="5" t="n">
        <v>5000</v>
      </c>
      <c r="G3" s="7">
        <f>E3-F3</f>
        <v>85000.0</v>
      </c>
      <c r="H3" s="7">
        <f>B3/G3</f>
        <v>0.4117647058823529</v>
      </c>
      <c r="I3" s="7">
        <f>H3*12</f>
        <v>4.9411764705882355</v>
      </c>
      <c r="J3" s="4" t="inlineStr">
        <is>
          <t>ОЦЕНИТЬ NPV</t>
        </is>
      </c>
    </row>
    <row r="4" ht="36" customHeight="1">
      <c r="A4" s="4" t="inlineStr">
        <is>
          <t>Спутники NDVI</t>
        </is>
      </c>
      <c r="B4" s="5" t="n">
        <v>20000</v>
      </c>
      <c r="C4" s="5" t="n">
        <v>500000</v>
      </c>
      <c r="D4" s="9" t="n">
        <v>0.05</v>
      </c>
      <c r="E4" s="7">
        <f>C4*D4</f>
        <v>25000.0</v>
      </c>
      <c r="F4" s="5" t="n">
        <v>3000</v>
      </c>
      <c r="G4" s="7">
        <f>E4-F4</f>
        <v>22000.0</v>
      </c>
      <c r="H4" s="7">
        <f>B4/G4</f>
        <v>0.9090909090909091</v>
      </c>
      <c r="I4" s="7">
        <f>H4*12</f>
        <v>10.909090909090908</v>
      </c>
      <c r="J4" s="4" t="inlineStr">
        <is>
          <t>ОЦЕНИТЬ NPV</t>
        </is>
      </c>
    </row>
    <row r="5" ht="36" customHeight="1">
      <c r="A5" s="4" t="inlineStr">
        <is>
          <t>Дорогая ERP-система</t>
        </is>
      </c>
      <c r="B5" s="5" t="n">
        <v>450000</v>
      </c>
      <c r="C5" s="5" t="n">
        <v>1500000</v>
      </c>
      <c r="D5" s="9" t="n">
        <v>0.02</v>
      </c>
      <c r="E5" s="7">
        <f>C5*D5</f>
        <v>30000.0</v>
      </c>
      <c r="F5" s="5" t="n">
        <v>40000</v>
      </c>
      <c r="G5" s="7">
        <f>E5-F5</f>
        <v>-10000.0</v>
      </c>
      <c r="H5" s="7">
        <f>B5/G5</f>
        <v>-45.0</v>
      </c>
      <c r="I5" s="4" t="inlineStr">
        <is>
          <t>—</t>
        </is>
      </c>
      <c r="J5" s="4" t="inlineStr">
        <is>
          <t>МЁРТВЫЙ CAPEX</t>
        </is>
      </c>
    </row>
    <row r="6" ht="36" customHeight="1">
      <c r="A6" s="4" t="inlineStr">
        <is>
          <t>ИТОГО</t>
        </is>
      </c>
      <c r="B6" s="5" t="n">
        <v>555000</v>
      </c>
      <c r="C6" s="4" t="inlineStr">
        <is>
          <t>—</t>
        </is>
      </c>
      <c r="D6" s="4" t="inlineStr">
        <is>
          <t>—</t>
        </is>
      </c>
      <c r="E6" s="7">
        <f>SUM(E2:E5)</f>
        <v>345000.0</v>
      </c>
      <c r="F6" s="7">
        <f>SUM(F2:F5)</f>
        <v>58000.0</v>
      </c>
      <c r="G6" s="7">
        <f>SUM(G2:G5)</f>
        <v>287000.0</v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Разница годовой экономии и OPEX — предварительная оценка. В решение об инвестиции включают CAPEX, внедрение, обслуживание, срок, риск и дисконтирование. NDVI и GPS являются измерениями с ошибкой; маршрут машины не доказывает выполнение операции.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(Технология)</t>
        </is>
      </c>
      <c r="B1" s="3" t="inlineStr">
        <is>
          <t>B (CAPEX)</t>
        </is>
      </c>
      <c r="C1" s="3" t="inlineStr">
        <is>
          <t>C (Затраты баз)</t>
        </is>
      </c>
      <c r="D1" s="3" t="inlineStr">
        <is>
          <t>D (Снижение)</t>
        </is>
      </c>
      <c r="E1" s="3" t="inlineStr">
        <is>
          <t>E (Экономия)</t>
        </is>
      </c>
      <c r="F1" s="3" t="inlineStr">
        <is>
          <t>F (OPEX подд)</t>
        </is>
      </c>
      <c r="G1" s="3" t="inlineStr">
        <is>
          <t>G (Чистый поток)</t>
        </is>
      </c>
      <c r="H1" s="3" t="inlineStr">
        <is>
          <t>H (Payback, лет)</t>
        </is>
      </c>
      <c r="I1" s="3" t="inlineStr">
        <is>
          <t>I (Payback, мес)</t>
        </is>
      </c>
      <c r="J1" s="3" t="inlineStr">
        <is>
          <t>J (Решение)</t>
        </is>
      </c>
    </row>
    <row r="2" ht="36" customHeight="1">
      <c r="A2" s="4" t="inlineStr">
        <is>
          <t>GPS + ДУТ на ГСМ</t>
        </is>
      </c>
      <c r="B2" s="5" t="n">
        <v>50000</v>
      </c>
      <c r="C2" s="5" t="n">
        <v>2000000</v>
      </c>
      <c r="D2" s="9" t="n">
        <v>0.1</v>
      </c>
      <c r="E2" s="7">
        <f>C2*D2</f>
        <v>200000.0</v>
      </c>
      <c r="F2" s="5" t="n">
        <v>10000</v>
      </c>
      <c r="G2" s="7">
        <f>E2-F2</f>
        <v>190000.0</v>
      </c>
      <c r="H2" s="7">
        <f>B2/G2</f>
        <v>0.2631578947368421</v>
      </c>
      <c r="I2" s="7">
        <f>H2*12</f>
        <v>3.1578947368421053</v>
      </c>
      <c r="J2" s="7" t="str">
        <f>IF(G2&gt;0,"ОЦЕНИТЬ NPV","МЁРТВЫЙ CAPEX")</f>
        <v>ОЦЕНИТЬ NPV</v>
      </c>
    </row>
    <row r="3" ht="36" customHeight="1">
      <c r="A3" s="4" t="inlineStr">
        <is>
          <t>Весовая авто-база</t>
        </is>
      </c>
      <c r="B3" s="5" t="n">
        <v>35000</v>
      </c>
      <c r="C3" s="5" t="n">
        <v>3000000</v>
      </c>
      <c r="D3" s="9" t="n">
        <v>0.03</v>
      </c>
      <c r="E3" s="7">
        <f>C3*D3</f>
        <v>90000.0</v>
      </c>
      <c r="F3" s="5" t="n">
        <v>5000</v>
      </c>
      <c r="G3" s="7">
        <f>E3-F3</f>
        <v>85000.0</v>
      </c>
      <c r="H3" s="7">
        <f>B3/G3</f>
        <v>0.4117647058823529</v>
      </c>
      <c r="I3" s="7">
        <f>H3*12</f>
        <v>4.9411764705882355</v>
      </c>
      <c r="J3" s="7" t="str">
        <f>IF(G3&gt;0,"ОЦЕНИТЬ NPV","МЁРТВЫЙ CAPEX")</f>
        <v>ОЦЕНИТЬ NPV</v>
      </c>
    </row>
    <row r="4" ht="36" customHeight="1">
      <c r="A4" s="4" t="inlineStr">
        <is>
          <t>Спутники NDVI</t>
        </is>
      </c>
      <c r="B4" s="5" t="n">
        <v>20000</v>
      </c>
      <c r="C4" s="5" t="n">
        <v>500000</v>
      </c>
      <c r="D4" s="9" t="n">
        <v>0.05</v>
      </c>
      <c r="E4" s="7">
        <f>C4*D4</f>
        <v>25000.0</v>
      </c>
      <c r="F4" s="5" t="n">
        <v>3000</v>
      </c>
      <c r="G4" s="7">
        <f>E4-F4</f>
        <v>22000.0</v>
      </c>
      <c r="H4" s="7">
        <f>B4/G4</f>
        <v>0.9090909090909091</v>
      </c>
      <c r="I4" s="7">
        <f>H4*12</f>
        <v>10.909090909090908</v>
      </c>
      <c r="J4" s="7" t="str">
        <f>IF(G4&gt;0,"ОЦЕНИТЬ NPV","МЁРТВЫЙ CAPEX")</f>
        <v>ОЦЕНИТЬ NPV</v>
      </c>
    </row>
    <row r="5" ht="36" customHeight="1">
      <c r="A5" s="4" t="inlineStr">
        <is>
          <t>Дорогая ERP</t>
        </is>
      </c>
      <c r="B5" s="5" t="n">
        <v>450000</v>
      </c>
      <c r="C5" s="5" t="n">
        <v>1500000</v>
      </c>
      <c r="D5" s="9" t="n">
        <v>0.02</v>
      </c>
      <c r="E5" s="7">
        <f>C5*D5</f>
        <v>30000.0</v>
      </c>
      <c r="F5" s="5" t="n">
        <v>40000</v>
      </c>
      <c r="G5" s="7">
        <f>E5-F5</f>
        <v>-10000.0</v>
      </c>
      <c r="H5" s="7">
        <f>B5/G5</f>
        <v>-45.0</v>
      </c>
      <c r="I5" s="4" t="inlineStr">
        <is>
          <t>—</t>
        </is>
      </c>
      <c r="J5" s="7" t="str">
        <f>IF(G5&gt;0,"ОЦЕНИТЬ NPV","МЁРТВЫЙ CAPEX")</f>
        <v>МЁРТВЫЙ CAPEX</v>
      </c>
    </row>
    <row r="6" ht="36" customHeight="1">
      <c r="A6" s="4" t="inlineStr">
        <is>
          <t>ИТОГО</t>
        </is>
      </c>
      <c r="B6" s="7">
        <f>SUM(B2:B5)</f>
        <v>555000.0</v>
      </c>
      <c r="C6" s="4" t="inlineStr">
        <is>
          <t>—</t>
        </is>
      </c>
      <c r="D6" s="4" t="inlineStr">
        <is>
          <t>—</t>
        </is>
      </c>
      <c r="E6" s="7">
        <f>SUM(E2:E5)</f>
        <v>345000.0</v>
      </c>
      <c r="F6" s="7">
        <f>SUM(F2:F5)</f>
        <v>58000.0</v>
      </c>
      <c r="G6" s="7">
        <f>SUM(G2:G5)</f>
        <v>287000.0</v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Разница годовой экономии и OPEX — предварительная оценка. В решение об инвестиции включают CAPEX, внедрение, обслуживание, срок, риск и дисконтирование. NDVI и GPS являются измерениями с ошибкой; маршрут машины не доказывает выполнение операции.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Подпроцесс</t>
        </is>
      </c>
      <c r="B1" s="3" t="inlineStr">
        <is>
          <t>Этап процесса</t>
        </is>
      </c>
      <c r="C1" s="3" t="inlineStr">
        <is>
          <t>Конкретный риск</t>
        </is>
      </c>
      <c r="D1" s="3" t="inlineStr">
        <is>
          <t>Цель контроля</t>
        </is>
      </c>
      <c r="E1" s="3" t="inlineStr">
        <is>
          <t>Содержание контрольной процедуры</t>
        </is>
      </c>
    </row>
    <row r="2" ht="36" customHeight="1">
      <c r="A2" s="4" t="inlineStr">
        <is>
          <t>Закупка ТМЗ</t>
        </is>
      </c>
      <c r="B2" s="4" t="inlineStr">
        <is>
          <t>Выбор поставщика</t>
        </is>
      </c>
      <c r="C2" s="4" t="inlineStr">
        <is>
          <t>Закупка по завышенной цене (откат)</t>
        </is>
      </c>
      <c r="D2" s="4" t="inlineStr">
        <is>
          <t>Обоснованность</t>
        </is>
      </c>
      <c r="E2" s="4" t="inlineStr">
        <is>
          <t>Сверка 3 независимых КП с рынком + утверждение Тендерным комитетом</t>
        </is>
      </c>
    </row>
    <row r="3" ht="36" customHeight="1">
      <c r="A3" s="4" t="inlineStr">
        <is>
          <t>Приёмка ГСМ</t>
        </is>
      </c>
      <c r="B3" s="4" t="inlineStr">
        <is>
          <t>Слив с цистерны</t>
        </is>
      </c>
      <c r="C3" s="4" t="inlineStr">
        <is>
          <t>Недолив дизеля в стационарный бак</t>
        </is>
      </c>
      <c r="D3" s="4" t="inlineStr">
        <is>
          <t>Полнота</t>
        </is>
      </c>
      <c r="E3" s="4" t="inlineStr">
        <is>
          <t>Замер мерным штоком комиссией + авто-запись в весовую базу</t>
        </is>
      </c>
    </row>
    <row r="6">
      <c r="A6" t="inlineStr">
        <is>
          <t>Пояснение</t>
        </is>
      </c>
    </row>
    <row r="7">
      <c r="A7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8"/>
    <row r="9"/>
  </sheetData>
  <autoFilter ref="A1:E3"/>
  <mergeCells count="1">
    <mergeCell ref="A7:E9"/>
  </mergeCells>
  <pageMargins left="0.75" right="0.75" top="1" bottom="1" header="0.5" footer="0.5"/>
  <pageSetup orientation="landscape" paperSize="9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Процесс</t>
        </is>
      </c>
      <c r="B1" s="3" t="inlineStr">
        <is>
          <t>Главный риск</t>
        </is>
      </c>
      <c r="C1" s="3" t="inlineStr">
        <is>
          <t>Контрольная процедура СВК</t>
        </is>
      </c>
      <c r="D1" s="3" t="inlineStr">
        <is>
          <t>Статус / Рейтинг</t>
        </is>
      </c>
    </row>
    <row r="2" ht="36" customHeight="1">
      <c r="A2" s="4" t="inlineStr">
        <is>
          <t>Закупки удобрений</t>
        </is>
      </c>
      <c r="B2" s="4" t="inlineStr">
        <is>
          <t>Откат (+760 тыс. сом. переплаты)</t>
        </is>
      </c>
      <c r="C2" s="4" t="inlineStr">
        <is>
          <t>Сверка 3 КП по регламенту ПР 400-ОД + авторизация Тендерным комитетом</t>
        </is>
      </c>
      <c r="D2" s="4" t="inlineStr">
        <is>
          <t>Рейтинг 3 (Внедрено)</t>
        </is>
      </c>
    </row>
    <row r="3" ht="36" customHeight="1">
      <c r="A3" s="4" t="inlineStr">
        <is>
          <t>Учёт ГСМ</t>
        </is>
      </c>
      <c r="B3" s="4" t="inlineStr">
        <is>
          <t>Слив солярки из баков</t>
        </is>
      </c>
      <c r="C3" s="4" t="inlineStr">
        <is>
          <t>Замер ДУТ + сверка GPS-моточасов с путевыми листами в шаблоне 0811</t>
        </is>
      </c>
      <c r="D3" s="4" t="inlineStr">
        <is>
          <t>Рейтинг 3 (Внедрено)</t>
        </is>
      </c>
    </row>
    <row r="4" ht="36" customHeight="1">
      <c r="A4" s="4" t="inlineStr">
        <is>
          <t>Уборка урожая</t>
        </is>
      </c>
      <c r="B4" s="4" t="inlineStr">
        <is>
          <t>Увод хлопчатника мимо весов</t>
        </is>
      </c>
      <c r="C4" s="4" t="inlineStr">
        <is>
          <t>Дубль-замер влажности/засора + автоматические весовые чеки + Биоучёт</t>
        </is>
      </c>
      <c r="D4" s="4" t="inlineStr">
        <is>
          <t>Рейтинг 2 (Требует авто-весовой)</t>
        </is>
      </c>
    </row>
    <row r="7">
      <c r="A7" t="inlineStr">
        <is>
          <t>Пояснение</t>
        </is>
      </c>
    </row>
    <row r="8">
      <c r="A8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9"/>
    <row r="10"/>
  </sheetData>
  <autoFilter ref="A1:D4"/>
  <mergeCells count="1">
    <mergeCell ref="A8:D10"/>
  </mergeCells>
  <pageMargins left="0.75" right="0.75" top="1" bottom="1" header="0.5" footer="0.5"/>
  <pageSetup orientation="landscape" paperSize="9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(Процесс)</t>
        </is>
      </c>
      <c r="B1" s="3" t="inlineStr">
        <is>
          <t>B (Риск)</t>
        </is>
      </c>
      <c r="C1" s="3" t="inlineStr">
        <is>
          <t>C (Цель контроля)</t>
        </is>
      </c>
      <c r="D1" s="3" t="inlineStr">
        <is>
          <t>D (Контрольная процедура)</t>
        </is>
      </c>
      <c r="E1" s="3" t="inlineStr">
        <is>
          <t>E (Ответственный)</t>
        </is>
      </c>
      <c r="F1" s="3" t="inlineStr">
        <is>
          <t>F (Периодичность)</t>
        </is>
      </c>
      <c r="G1" s="3" t="inlineStr">
        <is>
          <t>G (Текущий рейтинг 1-3)</t>
        </is>
      </c>
      <c r="H1" s="3" t="inlineStr">
        <is>
          <t>H (Финансовый риск, сом)</t>
        </is>
      </c>
      <c r="I1" s="3" t="inlineStr">
        <is>
          <t>I (Статус СВК)</t>
        </is>
      </c>
    </row>
    <row r="2" ht="36" customHeight="1">
      <c r="A2" s="4" t="inlineStr">
        <is>
          <t>Закупки ТМЗ</t>
        </is>
      </c>
      <c r="B2" s="4" t="inlineStr">
        <is>
          <t>Откаты и ценовое отклонение</t>
        </is>
      </c>
      <c r="C2" s="4" t="inlineStr">
        <is>
          <t>Обоснованность</t>
        </is>
      </c>
      <c r="D2" s="4" t="inlineStr">
        <is>
          <t>Сверка 3 КП + ПР 400-ОД</t>
        </is>
      </c>
      <c r="E2" s="4" t="inlineStr">
        <is>
          <t>Экономист / СЭБ</t>
        </is>
      </c>
      <c r="F2" s="4" t="inlineStr">
        <is>
          <t>Ежесделочно</t>
        </is>
      </c>
      <c r="G2" s="5" t="n">
        <v>3</v>
      </c>
      <c r="H2" s="5" t="n">
        <v>760000</v>
      </c>
      <c r="I2" s="4" t="inlineStr">
        <is>
          <t>ЭФФЕКТИВНО</t>
        </is>
      </c>
    </row>
    <row r="3" ht="36" customHeight="1">
      <c r="A3" s="4" t="inlineStr">
        <is>
          <t>Учёт ГСМ</t>
        </is>
      </c>
      <c r="B3" s="4" t="inlineStr">
        <is>
          <t>Слив дизеля из баков</t>
        </is>
      </c>
      <c r="C3" s="4" t="inlineStr">
        <is>
          <t>Полнота / Факт</t>
        </is>
      </c>
      <c r="D3" s="4" t="inlineStr">
        <is>
          <t>ДУТ + GPS + Шаблон 08</t>
        </is>
      </c>
      <c r="E3" s="4" t="inlineStr">
        <is>
          <t>Механизация / СБ</t>
        </is>
      </c>
      <c r="F3" s="4" t="inlineStr">
        <is>
          <t>Ежедневно</t>
        </is>
      </c>
      <c r="G3" s="5" t="n">
        <v>3</v>
      </c>
      <c r="H3" s="5" t="n">
        <v>200000</v>
      </c>
      <c r="I3" s="4" t="inlineStr">
        <is>
          <t>ЭФФЕКТИВНО</t>
        </is>
      </c>
    </row>
    <row r="4" ht="36" customHeight="1">
      <c r="A4" s="4" t="inlineStr">
        <is>
          <t>Уборка урожая</t>
        </is>
      </c>
      <c r="B4" s="4" t="inlineStr">
        <is>
          <t>Увод сырца мимо весов</t>
        </is>
      </c>
      <c r="C4" s="4" t="inlineStr">
        <is>
          <t>Целостность</t>
        </is>
      </c>
      <c r="D4" s="4" t="inlineStr">
        <is>
          <t>Биоучёт + авто-весовая</t>
        </is>
      </c>
      <c r="E4" s="4" t="inlineStr">
        <is>
          <t>Главный агроном</t>
        </is>
      </c>
      <c r="F4" s="4" t="inlineStr">
        <is>
          <t>В сезон</t>
        </is>
      </c>
      <c r="G4" s="5" t="n">
        <v>2</v>
      </c>
      <c r="H4" s="5" t="n">
        <v>3250000</v>
      </c>
      <c r="I4" s="4" t="inlineStr">
        <is>
          <t>СВК НА БУМАГЕ</t>
        </is>
      </c>
    </row>
    <row r="5" ht="36" customHeight="1">
      <c r="A5" s="4" t="inlineStr">
        <is>
          <t>Оплата ФОТ</t>
        </is>
      </c>
      <c r="B5" s="4" t="inlineStr">
        <is>
          <t>«Мёртвые души»</t>
        </is>
      </c>
      <c r="C5" s="4" t="inlineStr">
        <is>
          <t>Реальность</t>
        </is>
      </c>
      <c r="D5" s="4" t="inlineStr">
        <is>
          <t>Биометрия + карты ЗП</t>
        </is>
      </c>
      <c r="E5" s="4" t="inlineStr">
        <is>
          <t>Кадры / Бухгалтерия</t>
        </is>
      </c>
      <c r="F5" s="4" t="inlineStr">
        <is>
          <t>Ежемесячно</t>
        </is>
      </c>
      <c r="G5" s="5" t="n">
        <v>2</v>
      </c>
      <c r="H5" s="5" t="n">
        <v>100000</v>
      </c>
      <c r="I5" s="4" t="inlineStr">
        <is>
          <t>СВК НА БУМАГЕ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AVERAGE(G2:G5)</f>
        <v>2.5</v>
      </c>
      <c r="H6" s="7">
        <f>SUM(H2:H5)</f>
        <v>4310000.0</v>
      </c>
      <c r="I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(Процесс)</t>
        </is>
      </c>
      <c r="B1" s="3" t="inlineStr">
        <is>
          <t>B (Риск)</t>
        </is>
      </c>
      <c r="C1" s="3" t="inlineStr">
        <is>
          <t>C (Цель контроля)</t>
        </is>
      </c>
      <c r="D1" s="3" t="inlineStr">
        <is>
          <t>D (Процедура)</t>
        </is>
      </c>
      <c r="E1" s="3" t="inlineStr">
        <is>
          <t>E (Ответственный)</t>
        </is>
      </c>
      <c r="F1" s="3" t="inlineStr">
        <is>
          <t>F (Периодичность)</t>
        </is>
      </c>
      <c r="G1" s="3" t="inlineStr">
        <is>
          <t>G (Рейтинг)</t>
        </is>
      </c>
      <c r="H1" s="3" t="inlineStr">
        <is>
          <t>H (Риск, сом)</t>
        </is>
      </c>
      <c r="I1" s="3" t="inlineStr">
        <is>
          <t>I (Статус СВК)</t>
        </is>
      </c>
    </row>
    <row r="2" ht="36" customHeight="1">
      <c r="A2" s="4" t="inlineStr">
        <is>
          <t>Закупки ТМЗ</t>
        </is>
      </c>
      <c r="B2" s="4" t="inlineStr">
        <is>
          <t>Откаты</t>
        </is>
      </c>
      <c r="C2" s="4" t="inlineStr">
        <is>
          <t>Обоснованность</t>
        </is>
      </c>
      <c r="D2" s="4" t="inlineStr">
        <is>
          <t>3 КП + ПР 400-ОД</t>
        </is>
      </c>
      <c r="E2" s="4" t="inlineStr">
        <is>
          <t>Экономист / СЭБ</t>
        </is>
      </c>
      <c r="F2" s="4" t="inlineStr">
        <is>
          <t>Ежесделочно</t>
        </is>
      </c>
      <c r="G2" s="5" t="n">
        <v>3</v>
      </c>
      <c r="H2" s="5" t="n">
        <v>760000</v>
      </c>
      <c r="I2" s="7" t="str">
        <f>IF(G2=3,"ЭФФЕКТИВНО","СВК НА БУМАГЕ")</f>
        <v>ЭФФЕКТИВНО</v>
      </c>
    </row>
    <row r="3" ht="36" customHeight="1">
      <c r="A3" s="4" t="inlineStr">
        <is>
          <t>Учёт ГСМ</t>
        </is>
      </c>
      <c r="B3" s="4" t="inlineStr">
        <is>
          <t>Слив дизеля</t>
        </is>
      </c>
      <c r="C3" s="4" t="inlineStr">
        <is>
          <t>Полнота / Факт</t>
        </is>
      </c>
      <c r="D3" s="4" t="inlineStr">
        <is>
          <t>ДУТ + GPS + Ш08</t>
        </is>
      </c>
      <c r="E3" s="4" t="inlineStr">
        <is>
          <t>Механизация / СБ</t>
        </is>
      </c>
      <c r="F3" s="4" t="inlineStr">
        <is>
          <t>Ежедневно</t>
        </is>
      </c>
      <c r="G3" s="5" t="n">
        <v>3</v>
      </c>
      <c r="H3" s="5" t="n">
        <v>200000</v>
      </c>
      <c r="I3" s="7" t="str">
        <f>IF(G3=3,"ЭФФЕКТИВНО","СВК НА БУМАГЕ")</f>
        <v>ЭФФЕКТИВНО</v>
      </c>
    </row>
    <row r="4" ht="36" customHeight="1">
      <c r="A4" s="4" t="inlineStr">
        <is>
          <t>Уборка урожая</t>
        </is>
      </c>
      <c r="B4" s="4" t="inlineStr">
        <is>
          <t>Увод сырца</t>
        </is>
      </c>
      <c r="C4" s="4" t="inlineStr">
        <is>
          <t>Целостность</t>
        </is>
      </c>
      <c r="D4" s="4" t="inlineStr">
        <is>
          <t>Авто-весовая + Био</t>
        </is>
      </c>
      <c r="E4" s="4" t="inlineStr">
        <is>
          <t>Главный агроном</t>
        </is>
      </c>
      <c r="F4" s="4" t="inlineStr">
        <is>
          <t>В сезон</t>
        </is>
      </c>
      <c r="G4" s="5" t="n">
        <v>2</v>
      </c>
      <c r="H4" s="5" t="n">
        <v>3250000</v>
      </c>
      <c r="I4" s="7" t="str">
        <f>IF(G4=3,"ЭФФЕКТИВНО","СВК НА БУМАГЕ")</f>
        <v>СВК НА БУМАГЕ</v>
      </c>
    </row>
    <row r="5" ht="36" customHeight="1">
      <c r="A5" s="4" t="inlineStr">
        <is>
          <t>Оплата ФОТ</t>
        </is>
      </c>
      <c r="B5" s="4" t="inlineStr">
        <is>
          <t>«Мёртвые души»</t>
        </is>
      </c>
      <c r="C5" s="4" t="inlineStr">
        <is>
          <t>Реальность</t>
        </is>
      </c>
      <c r="D5" s="4" t="inlineStr">
        <is>
          <t>Биометрия + карты</t>
        </is>
      </c>
      <c r="E5" s="4" t="inlineStr">
        <is>
          <t>Кадры / Бухгалтерия</t>
        </is>
      </c>
      <c r="F5" s="4" t="inlineStr">
        <is>
          <t>Ежемесячно</t>
        </is>
      </c>
      <c r="G5" s="5" t="n">
        <v>2</v>
      </c>
      <c r="H5" s="5" t="n">
        <v>100000</v>
      </c>
      <c r="I5" s="7" t="str">
        <f>IF(G5=3,"ЭФФЕКТИВНО","СВК НА БУМАГЕ")</f>
        <v>СВК НА БУМАГЕ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AVERAGE(G2:G5)</f>
        <v>2.5</v>
      </c>
      <c r="H6" s="7">
        <f>SUM(H2:H5)</f>
        <v>4310000.0</v>
      </c>
      <c r="I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6" customHeight="1">
      <c r="A1" s="3" t="inlineStr">
        <is>
          <t>Вероятность (O) ↓ / Ущерб (C) →</t>
        </is>
      </c>
      <c r="B1" s="3" t="inlineStr">
        <is>
          <t>1 (Микро)</t>
        </is>
      </c>
      <c r="C1" s="3" t="inlineStr">
        <is>
          <t>2 (Малый)</t>
        </is>
      </c>
      <c r="D1" s="3" t="inlineStr">
        <is>
          <t>3 (Средний)</t>
        </is>
      </c>
      <c r="E1" s="3" t="inlineStr">
        <is>
          <t>4 (Крупный)</t>
        </is>
      </c>
      <c r="F1" s="3" t="inlineStr">
        <is>
          <t>5 (Катастрофа)</t>
        </is>
      </c>
    </row>
    <row r="2" ht="36" customHeight="1">
      <c r="A2" s="5" t="n">
        <v>5</v>
      </c>
      <c r="B2" s="5" t="n">
        <v>5</v>
      </c>
      <c r="C2" s="5" t="n">
        <v>10</v>
      </c>
      <c r="D2" s="5" t="n">
        <v>15</v>
      </c>
      <c r="E2" s="5" t="n">
        <v>20</v>
      </c>
      <c r="F2" s="5" t="n">
        <v>25</v>
      </c>
    </row>
    <row r="3" ht="36" customHeight="1">
      <c r="A3" s="5" t="n">
        <v>4</v>
      </c>
      <c r="B3" s="5" t="n">
        <v>4</v>
      </c>
      <c r="C3" s="5" t="n">
        <v>8</v>
      </c>
      <c r="D3" s="5" t="n">
        <v>12</v>
      </c>
      <c r="E3" s="5" t="n">
        <v>16</v>
      </c>
      <c r="F3" s="5" t="n">
        <v>20</v>
      </c>
    </row>
    <row r="4" ht="36" customHeight="1">
      <c r="A4" s="5" t="n">
        <v>3</v>
      </c>
      <c r="B4" s="5" t="n">
        <v>3</v>
      </c>
      <c r="C4" s="5" t="n">
        <v>6</v>
      </c>
      <c r="D4" s="5" t="n">
        <v>9</v>
      </c>
      <c r="E4" s="5" t="n">
        <v>12</v>
      </c>
      <c r="F4" s="5" t="n">
        <v>15</v>
      </c>
    </row>
    <row r="5" ht="36" customHeight="1">
      <c r="A5" s="5" t="n">
        <v>2</v>
      </c>
      <c r="B5" s="5" t="n">
        <v>2</v>
      </c>
      <c r="C5" s="5" t="n">
        <v>4</v>
      </c>
      <c r="D5" s="5" t="n">
        <v>6</v>
      </c>
      <c r="E5" s="5" t="n">
        <v>8</v>
      </c>
      <c r="F5" s="5" t="n">
        <v>10</v>
      </c>
    </row>
    <row r="6" ht="36" customHeight="1">
      <c r="A6" s="5" t="n">
        <v>1</v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</row>
    <row r="9">
      <c r="A9" t="inlineStr">
        <is>
          <t>Пояснение</t>
        </is>
      </c>
    </row>
    <row r="10">
      <c r="A10" s="6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11"/>
    <row r="12"/>
  </sheetData>
  <autoFilter ref="A1:F6"/>
  <mergeCells count="1">
    <mergeCell ref="A10:F12"/>
  </mergeCells>
  <pageMargins left="0.75" right="0.75" top="1" bottom="1" header="0.5" footer="0.5"/>
  <pageSetup orientation="landscape" paperSize="9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№</t>
        </is>
      </c>
      <c r="B1" s="3" t="inlineStr">
        <is>
          <t>Вид риска</t>
        </is>
      </c>
      <c r="C1" s="3" t="inlineStr">
        <is>
          <t>O (Частота)</t>
        </is>
      </c>
      <c r="D1" s="3" t="inlineStr">
        <is>
          <t>D (Скрытость)</t>
        </is>
      </c>
      <c r="E1" s="3" t="inlineStr">
        <is>
          <t>C (Ущерб)</t>
        </is>
      </c>
      <c r="F1" s="3" t="inlineStr">
        <is>
          <t>RPN (O×D×C)</t>
        </is>
      </c>
      <c r="G1" s="3" t="inlineStr">
        <is>
          <t>Зона риска</t>
        </is>
      </c>
    </row>
    <row r="2" ht="36" customHeight="1">
      <c r="A2" s="5" t="n">
        <v>1</v>
      </c>
      <c r="B2" s="4" t="inlineStr">
        <is>
          <t>Хищение ГСМ (слив солярки)</t>
        </is>
      </c>
      <c r="C2" s="5" t="n">
        <v>5</v>
      </c>
      <c r="D2" s="5" t="n">
        <v>4</v>
      </c>
      <c r="E2" s="5" t="n">
        <v>4</v>
      </c>
      <c r="F2" s="5" t="n">
        <v>80</v>
      </c>
      <c r="G2" s="4" t="inlineStr">
        <is>
          <t>КРИТИЧЕСКАЯ</t>
        </is>
      </c>
    </row>
    <row r="3" ht="36" customHeight="1">
      <c r="A3" s="5" t="n">
        <v>2</v>
      </c>
      <c r="B3" s="4" t="inlineStr">
        <is>
          <t>Увод урожая мимо весовой</t>
        </is>
      </c>
      <c r="C3" s="5" t="n">
        <v>4</v>
      </c>
      <c r="D3" s="5" t="n">
        <v>4</v>
      </c>
      <c r="E3" s="5" t="n">
        <v>5</v>
      </c>
      <c r="F3" s="5" t="n">
        <v>80</v>
      </c>
      <c r="G3" s="4" t="inlineStr">
        <is>
          <t>КРИТИЧЕСКАЯ</t>
        </is>
      </c>
    </row>
    <row r="4" ht="36" customHeight="1">
      <c r="A4" s="5" t="n">
        <v>3</v>
      </c>
      <c r="B4" s="4" t="inlineStr">
        <is>
          <t>Откаты при закупках удобрений</t>
        </is>
      </c>
      <c r="C4" s="5" t="n">
        <v>4</v>
      </c>
      <c r="D4" s="5" t="n">
        <v>4</v>
      </c>
      <c r="E4" s="5" t="n">
        <v>5</v>
      </c>
      <c r="F4" s="5" t="n">
        <v>80</v>
      </c>
      <c r="G4" s="4" t="inlineStr">
        <is>
          <t>КРИТИЧЕСКАЯ</t>
        </is>
      </c>
    </row>
    <row r="5" ht="36" customHeight="1">
      <c r="A5" s="5" t="n">
        <v>4</v>
      </c>
      <c r="B5" s="4" t="inlineStr">
        <is>
          <t>Приписки объёмов работ</t>
        </is>
      </c>
      <c r="C5" s="5" t="n">
        <v>4</v>
      </c>
      <c r="D5" s="5" t="n">
        <v>4</v>
      </c>
      <c r="E5" s="5" t="n">
        <v>4</v>
      </c>
      <c r="F5" s="5" t="n">
        <v>64</v>
      </c>
      <c r="G5" s="4" t="inlineStr">
        <is>
          <t>КРИТИЧЕСКАЯ</t>
        </is>
      </c>
    </row>
    <row r="6" ht="36" customHeight="1">
      <c r="A6" s="5" t="n">
        <v>5</v>
      </c>
      <c r="B6" s="4" t="inlineStr">
        <is>
          <t>Скрытая реализация урожая</t>
        </is>
      </c>
      <c r="C6" s="5" t="n">
        <v>3</v>
      </c>
      <c r="D6" s="5" t="n">
        <v>4</v>
      </c>
      <c r="E6" s="5" t="n">
        <v>5</v>
      </c>
      <c r="F6" s="5" t="n">
        <v>60</v>
      </c>
      <c r="G6" s="4" t="inlineStr">
        <is>
          <t>КРИТИЧЕСКАЯ</t>
        </is>
      </c>
    </row>
    <row r="7" ht="36" customHeight="1">
      <c r="A7" s="5" t="n">
        <v>6</v>
      </c>
      <c r="B7" s="4" t="inlineStr">
        <is>
          <t>Фирмы-однодневки в закупках</t>
        </is>
      </c>
      <c r="C7" s="5" t="n">
        <v>3</v>
      </c>
      <c r="D7" s="5" t="n">
        <v>4</v>
      </c>
      <c r="E7" s="5" t="n">
        <v>5</v>
      </c>
      <c r="F7" s="5" t="n">
        <v>60</v>
      </c>
      <c r="G7" s="4" t="inlineStr">
        <is>
          <t>КРИТИЧЕСКАЯ</t>
        </is>
      </c>
    </row>
    <row r="8" ht="36" customHeight="1">
      <c r="A8" s="5" t="n">
        <v>7</v>
      </c>
      <c r="B8" s="4" t="inlineStr">
        <is>
          <t>Хищение ТМЗ (удобрений/семян)</t>
        </is>
      </c>
      <c r="C8" s="5" t="n">
        <v>4</v>
      </c>
      <c r="D8" s="5" t="n">
        <v>3</v>
      </c>
      <c r="E8" s="5" t="n">
        <v>4</v>
      </c>
      <c r="F8" s="5" t="n">
        <v>48</v>
      </c>
      <c r="G8" s="4" t="inlineStr">
        <is>
          <t>КРИТИЧЕСКАЯ</t>
        </is>
      </c>
    </row>
    <row r="9" ht="36" customHeight="1">
      <c r="A9" s="5" t="n">
        <v>8</v>
      </c>
      <c r="B9" s="4" t="inlineStr">
        <is>
          <t>«Мёртвые души» в ведомостях</t>
        </is>
      </c>
      <c r="C9" s="5" t="n">
        <v>3</v>
      </c>
      <c r="D9" s="5" t="n">
        <v>4</v>
      </c>
      <c r="E9" s="5" t="n">
        <v>3</v>
      </c>
      <c r="F9" s="5" t="n">
        <v>36</v>
      </c>
      <c r="G9" s="4" t="inlineStr">
        <is>
          <t>КРИТИЧЕСКАЯ</t>
        </is>
      </c>
    </row>
    <row r="12">
      <c r="A12" t="inlineStr">
        <is>
          <t>Пояснение</t>
        </is>
      </c>
    </row>
    <row r="13">
      <c r="A13" s="6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14"/>
    <row r="15"/>
  </sheetData>
  <autoFilter ref="A1:G9"/>
  <mergeCells count="1">
    <mergeCell ref="A13:G15"/>
  </mergeCells>
  <pageMargins left="0.75" right="0.75" top="1" bottom="1" header="0.5" footer="0.5"/>
  <pageSetup orientation="landscape" paperSize="9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(Вид риска)</t>
        </is>
      </c>
      <c r="B1" s="3" t="inlineStr">
        <is>
          <t>B (O балл)</t>
        </is>
      </c>
      <c r="C1" s="3" t="inlineStr">
        <is>
          <t>C (D балл)</t>
        </is>
      </c>
      <c r="D1" s="3" t="inlineStr">
        <is>
          <t>D (C балл)</t>
        </is>
      </c>
      <c r="E1" s="3" t="inlineStr">
        <is>
          <t>E (Базовый RPN)</t>
        </is>
      </c>
      <c r="F1" s="3" t="inlineStr">
        <is>
          <t>F (Зона)</t>
        </is>
      </c>
      <c r="G1" s="3" t="inlineStr">
        <is>
          <t>G (Мера контроля)</t>
        </is>
      </c>
      <c r="H1" s="3" t="inlineStr">
        <is>
          <t>H (O нов)</t>
        </is>
      </c>
      <c r="I1" s="3" t="inlineStr">
        <is>
          <t>I (D нов)</t>
        </is>
      </c>
      <c r="J1" s="3" t="inlineStr">
        <is>
          <t>J (Новый RPN)</t>
        </is>
      </c>
      <c r="K1" s="3" t="inlineStr">
        <is>
          <t>K (Новая зона)</t>
        </is>
      </c>
    </row>
    <row r="2" ht="36" customHeight="1">
      <c r="A2" s="4" t="inlineStr">
        <is>
          <t>Хищение ГСМ</t>
        </is>
      </c>
      <c r="B2" s="5" t="n">
        <v>5</v>
      </c>
      <c r="C2" s="5" t="n">
        <v>4</v>
      </c>
      <c r="D2" s="5" t="n">
        <v>4</v>
      </c>
      <c r="E2" s="7">
        <f>B2*C2*D2</f>
        <v>80.0</v>
      </c>
      <c r="F2" s="4" t="inlineStr">
        <is>
          <t>КРИТ</t>
        </is>
      </c>
      <c r="G2" s="4" t="inlineStr">
        <is>
          <t>GPS + ДУТ + Шаблон 08</t>
        </is>
      </c>
      <c r="H2" s="5" t="n">
        <v>2</v>
      </c>
      <c r="I2" s="5" t="n">
        <v>2</v>
      </c>
      <c r="J2" s="7">
        <f>H2*I2*D2</f>
        <v>16.0</v>
      </c>
      <c r="K2" s="4" t="inlineStr">
        <is>
          <t>СРЕДНИЙ</t>
        </is>
      </c>
    </row>
    <row r="3" ht="36" customHeight="1">
      <c r="A3" s="4" t="inlineStr">
        <is>
          <t>Увод урожая</t>
        </is>
      </c>
      <c r="B3" s="5" t="n">
        <v>4</v>
      </c>
      <c r="C3" s="5" t="n">
        <v>4</v>
      </c>
      <c r="D3" s="5" t="n">
        <v>5</v>
      </c>
      <c r="E3" s="7">
        <f>B3*C3*D3</f>
        <v>80.0</v>
      </c>
      <c r="F3" s="4" t="inlineStr">
        <is>
          <t>КРИТ</t>
        </is>
      </c>
      <c r="G3" s="4" t="inlineStr">
        <is>
          <t>Авто-весовая + Биоучёт</t>
        </is>
      </c>
      <c r="H3" s="5" t="n">
        <v>2</v>
      </c>
      <c r="I3" s="5" t="n">
        <v>1</v>
      </c>
      <c r="J3" s="7">
        <f>H3*I3*D3</f>
        <v>10.0</v>
      </c>
      <c r="K3" s="4" t="inlineStr">
        <is>
          <t>СРЕДНИЙ</t>
        </is>
      </c>
    </row>
    <row r="4" ht="36" customHeight="1">
      <c r="A4" s="4" t="inlineStr">
        <is>
          <t>Откаты закупки</t>
        </is>
      </c>
      <c r="B4" s="5" t="n">
        <v>4</v>
      </c>
      <c r="C4" s="5" t="n">
        <v>4</v>
      </c>
      <c r="D4" s="5" t="n">
        <v>5</v>
      </c>
      <c r="E4" s="7">
        <f>B4*C4*D4</f>
        <v>80.0</v>
      </c>
      <c r="F4" s="4" t="inlineStr">
        <is>
          <t>КРИТ</t>
        </is>
      </c>
      <c r="G4" s="4" t="inlineStr">
        <is>
          <t>3 КП + ПР 400-ОД + Тендер</t>
        </is>
      </c>
      <c r="H4" s="5" t="n">
        <v>2</v>
      </c>
      <c r="I4" s="5" t="n">
        <v>2</v>
      </c>
      <c r="J4" s="7">
        <f>H4*I4*D4</f>
        <v>20.0</v>
      </c>
      <c r="K4" s="4" t="inlineStr">
        <is>
          <t>СРЕДНИЙ</t>
        </is>
      </c>
    </row>
    <row r="5" ht="36" customHeight="1">
      <c r="A5" s="4" t="inlineStr">
        <is>
          <t>Приписки работ</t>
        </is>
      </c>
      <c r="B5" s="5" t="n">
        <v>4</v>
      </c>
      <c r="C5" s="5" t="n">
        <v>4</v>
      </c>
      <c r="D5" s="5" t="n">
        <v>4</v>
      </c>
      <c r="E5" s="7">
        <f>B5*C5*D5</f>
        <v>64.0</v>
      </c>
      <c r="F5" s="4" t="inlineStr">
        <is>
          <t>КРИТ</t>
        </is>
      </c>
      <c r="G5" s="4" t="inlineStr">
        <is>
          <t>GPS-треки + Фотофиксация</t>
        </is>
      </c>
      <c r="H5" s="5" t="n">
        <v>2</v>
      </c>
      <c r="I5" s="5" t="n">
        <v>2</v>
      </c>
      <c r="J5" s="7">
        <f>H5*I5*D5</f>
        <v>16.0</v>
      </c>
      <c r="K5" s="4" t="inlineStr">
        <is>
          <t>СРЕДНИЙ</t>
        </is>
      </c>
    </row>
    <row r="6" ht="36" customHeight="1">
      <c r="A6" s="4" t="inlineStr">
        <is>
          <t>Скрытая реализ</t>
        </is>
      </c>
      <c r="B6" s="5" t="n">
        <v>3</v>
      </c>
      <c r="C6" s="5" t="n">
        <v>4</v>
      </c>
      <c r="D6" s="5" t="n">
        <v>5</v>
      </c>
      <c r="E6" s="7">
        <f>B6*C6*D6</f>
        <v>60.0</v>
      </c>
      <c r="F6" s="4" t="inlineStr">
        <is>
          <t>КРИТ</t>
        </is>
      </c>
      <c r="G6" s="4" t="inlineStr">
        <is>
          <t>Форензика первички</t>
        </is>
      </c>
      <c r="H6" s="5" t="n">
        <v>1</v>
      </c>
      <c r="I6" s="5" t="n">
        <v>2</v>
      </c>
      <c r="J6" s="7">
        <f>H6*I6*D6</f>
        <v>10.0</v>
      </c>
      <c r="K6" s="4" t="inlineStr">
        <is>
          <t>СРЕДНИЙ</t>
        </is>
      </c>
    </row>
    <row r="7" ht="36" customHeight="1">
      <c r="A7" s="4" t="inlineStr">
        <is>
          <t>Однодневки</t>
        </is>
      </c>
      <c r="B7" s="5" t="n">
        <v>3</v>
      </c>
      <c r="C7" s="5" t="n">
        <v>4</v>
      </c>
      <c r="D7" s="5" t="n">
        <v>5</v>
      </c>
      <c r="E7" s="7">
        <f>B7*C7*D7</f>
        <v>60.0</v>
      </c>
      <c r="F7" s="4" t="inlineStr">
        <is>
          <t>КРИТ</t>
        </is>
      </c>
      <c r="G7" s="4" t="inlineStr">
        <is>
          <t>Анкета 16 признаков</t>
        </is>
      </c>
      <c r="H7" s="5" t="n">
        <v>1</v>
      </c>
      <c r="I7" s="5" t="n">
        <v>2</v>
      </c>
      <c r="J7" s="7">
        <f>H7*I7*D7</f>
        <v>10.0</v>
      </c>
      <c r="K7" s="4" t="inlineStr">
        <is>
          <t>СРЕДНИЙ</t>
        </is>
      </c>
    </row>
    <row r="8" ht="36" customHeight="1">
      <c r="A8" s="4" t="inlineStr">
        <is>
          <t>Хищение ТМЗ</t>
        </is>
      </c>
      <c r="B8" s="5" t="n">
        <v>4</v>
      </c>
      <c r="C8" s="5" t="n">
        <v>3</v>
      </c>
      <c r="D8" s="5" t="n">
        <v>4</v>
      </c>
      <c r="E8" s="7">
        <f>B8*C8*D8</f>
        <v>48.0</v>
      </c>
      <c r="F8" s="4" t="inlineStr">
        <is>
          <t>КРИТ</t>
        </is>
      </c>
      <c r="G8" s="4" t="inlineStr">
        <is>
          <t>Внезапная инвентаризация</t>
        </is>
      </c>
      <c r="H8" s="5" t="n">
        <v>2</v>
      </c>
      <c r="I8" s="5" t="n">
        <v>2</v>
      </c>
      <c r="J8" s="7">
        <f>H8*I8*D8</f>
        <v>16.0</v>
      </c>
      <c r="K8" s="4" t="inlineStr">
        <is>
          <t>СРЕДНИЙ</t>
        </is>
      </c>
    </row>
    <row r="9" ht="36" customHeight="1">
      <c r="A9" s="4" t="inlineStr">
        <is>
          <t>Мёртвые души</t>
        </is>
      </c>
      <c r="B9" s="5" t="n">
        <v>3</v>
      </c>
      <c r="C9" s="5" t="n">
        <v>4</v>
      </c>
      <c r="D9" s="5" t="n">
        <v>3</v>
      </c>
      <c r="E9" s="7">
        <f>B9*C9*D9</f>
        <v>36.0</v>
      </c>
      <c r="F9" s="4" t="inlineStr">
        <is>
          <t>КРИТ</t>
        </is>
      </c>
      <c r="G9" s="4" t="inlineStr">
        <is>
          <t>Биометрия + Карты ЗП</t>
        </is>
      </c>
      <c r="H9" s="5" t="n">
        <v>1</v>
      </c>
      <c r="I9" s="5" t="n">
        <v>2</v>
      </c>
      <c r="J9" s="7">
        <f>H9*I9*D9</f>
        <v>6.0</v>
      </c>
      <c r="K9" s="4" t="inlineStr">
        <is>
          <t>НИЗКИЙ</t>
        </is>
      </c>
    </row>
    <row r="10" ht="36" customHeight="1">
      <c r="A10" s="4" t="inlineStr">
        <is>
          <t>СРЕДНЕЕ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7">
        <f>AVERAGE(E2:E9)</f>
        <v>63.5</v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7">
        <f>AVERAGE(J2:J9)</f>
        <v>13.0</v>
      </c>
      <c r="K10" s="4" t="inlineStr">
        <is>
          <t>УСПЕХ</t>
        </is>
      </c>
    </row>
    <row r="13">
      <c r="A13" t="inlineStr">
        <is>
          <t>Пояснение</t>
        </is>
      </c>
    </row>
    <row r="14">
      <c r="A14" s="6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15"/>
    <row r="16"/>
  </sheetData>
  <autoFilter ref="A1:K10"/>
  <mergeCells count="1">
    <mergeCell ref="A14:K16"/>
  </mergeCells>
  <pageMargins left="0.75" right="0.75" top="1" bottom="1" header="0.5" footer="0.5"/>
  <pageSetup orientation="landscape" paperSize="9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(Вид риска)</t>
        </is>
      </c>
      <c r="B1" s="3" t="inlineStr">
        <is>
          <t>B (O)</t>
        </is>
      </c>
      <c r="C1" s="3" t="inlineStr">
        <is>
          <t>C (D)</t>
        </is>
      </c>
      <c r="D1" s="3" t="inlineStr">
        <is>
          <t>D (C)</t>
        </is>
      </c>
      <c r="E1" s="3" t="inlineStr">
        <is>
          <t>E (Базовый RPN)</t>
        </is>
      </c>
      <c r="F1" s="3" t="inlineStr">
        <is>
          <t>F (Зона)</t>
        </is>
      </c>
      <c r="G1" s="3" t="inlineStr">
        <is>
          <t>G (Мера контроля)</t>
        </is>
      </c>
      <c r="H1" s="3" t="inlineStr">
        <is>
          <t>H (O нов)</t>
        </is>
      </c>
      <c r="I1" s="3" t="inlineStr">
        <is>
          <t>I (D нов)</t>
        </is>
      </c>
      <c r="J1" s="3" t="inlineStr">
        <is>
          <t>J (Новый RPN)</t>
        </is>
      </c>
      <c r="K1" s="3" t="inlineStr">
        <is>
          <t>K (Новая зона)</t>
        </is>
      </c>
    </row>
    <row r="2" ht="36" customHeight="1">
      <c r="A2" s="4" t="inlineStr">
        <is>
          <t>Хищение ГСМ</t>
        </is>
      </c>
      <c r="B2" s="5" t="n">
        <v>5</v>
      </c>
      <c r="C2" s="5" t="n">
        <v>4</v>
      </c>
      <c r="D2" s="5" t="n">
        <v>4</v>
      </c>
      <c r="E2" s="7">
        <f>B2*C2*D2</f>
        <v>80.0</v>
      </c>
      <c r="F2" s="7" t="str">
        <f>IF(E2&gt;=30,"КРИТ","НОРМА")</f>
        <v>КРИТ</v>
      </c>
      <c r="G2" s="4" t="inlineStr">
        <is>
          <t>GPS + ДУТ + Шаблон 08</t>
        </is>
      </c>
      <c r="H2" s="5" t="n">
        <v>2</v>
      </c>
      <c r="I2" s="5" t="n">
        <v>2</v>
      </c>
      <c r="J2" s="7">
        <f>H2*I2*D2</f>
        <v>16.0</v>
      </c>
      <c r="K2" s="7" t="str">
        <f>IF(J2&gt;=30,"КРИТ","СРЕДНИЙ")</f>
        <v>СРЕДНИЙ</v>
      </c>
    </row>
    <row r="3" ht="36" customHeight="1">
      <c r="A3" s="4" t="inlineStr">
        <is>
          <t>Увод урожая</t>
        </is>
      </c>
      <c r="B3" s="5" t="n">
        <v>4</v>
      </c>
      <c r="C3" s="5" t="n">
        <v>4</v>
      </c>
      <c r="D3" s="5" t="n">
        <v>5</v>
      </c>
      <c r="E3" s="7">
        <f>B3*C3*D3</f>
        <v>80.0</v>
      </c>
      <c r="F3" s="7" t="str">
        <f>IF(E3&gt;=30,"КРИТ","НОРМА")</f>
        <v>КРИТ</v>
      </c>
      <c r="G3" s="4" t="inlineStr">
        <is>
          <t>Авто-весовая + Биоучёт</t>
        </is>
      </c>
      <c r="H3" s="5" t="n">
        <v>2</v>
      </c>
      <c r="I3" s="5" t="n">
        <v>1</v>
      </c>
      <c r="J3" s="7">
        <f>H3*I3*D3</f>
        <v>10.0</v>
      </c>
      <c r="K3" s="7" t="str">
        <f>IF(J3&gt;=30,"КРИТ","СРЕДНИЙ")</f>
        <v>СРЕДНИЙ</v>
      </c>
    </row>
    <row r="4" ht="36" customHeight="1">
      <c r="A4" s="4" t="inlineStr">
        <is>
          <t>Откаты закупки</t>
        </is>
      </c>
      <c r="B4" s="5" t="n">
        <v>4</v>
      </c>
      <c r="C4" s="5" t="n">
        <v>4</v>
      </c>
      <c r="D4" s="5" t="n">
        <v>5</v>
      </c>
      <c r="E4" s="7">
        <f>B4*C4*D4</f>
        <v>80.0</v>
      </c>
      <c r="F4" s="7" t="str">
        <f>IF(E4&gt;=30,"КРИТ","НОРМА")</f>
        <v>КРИТ</v>
      </c>
      <c r="G4" s="4" t="inlineStr">
        <is>
          <t>3 КП + ПР 400-ОД + Тендер</t>
        </is>
      </c>
      <c r="H4" s="5" t="n">
        <v>2</v>
      </c>
      <c r="I4" s="5" t="n">
        <v>2</v>
      </c>
      <c r="J4" s="7">
        <f>H4*I4*D4</f>
        <v>20.0</v>
      </c>
      <c r="K4" s="7" t="str">
        <f>IF(J4&gt;=30,"КРИТ","СРЕДНИЙ")</f>
        <v>СРЕДНИЙ</v>
      </c>
    </row>
    <row r="5" ht="36" customHeight="1">
      <c r="A5" s="4" t="inlineStr">
        <is>
          <t>Приписки работ</t>
        </is>
      </c>
      <c r="B5" s="5" t="n">
        <v>4</v>
      </c>
      <c r="C5" s="5" t="n">
        <v>4</v>
      </c>
      <c r="D5" s="5" t="n">
        <v>4</v>
      </c>
      <c r="E5" s="7">
        <f>B5*C5*D5</f>
        <v>64.0</v>
      </c>
      <c r="F5" s="7" t="str">
        <f>IF(E5&gt;=30,"КРИТ","НОРМА")</f>
        <v>КРИТ</v>
      </c>
      <c r="G5" s="4" t="inlineStr">
        <is>
          <t>GPS-треки + Фотофиксация</t>
        </is>
      </c>
      <c r="H5" s="5" t="n">
        <v>2</v>
      </c>
      <c r="I5" s="5" t="n">
        <v>2</v>
      </c>
      <c r="J5" s="7">
        <f>H5*I5*D5</f>
        <v>16.0</v>
      </c>
      <c r="K5" s="7" t="str">
        <f>IF(J5&gt;=30,"КРИТ","СРЕДНИЙ")</f>
        <v>СРЕДНИЙ</v>
      </c>
    </row>
    <row r="6" ht="36" customHeight="1">
      <c r="A6" s="4" t="inlineStr">
        <is>
          <t>Скрытая реализ</t>
        </is>
      </c>
      <c r="B6" s="5" t="n">
        <v>3</v>
      </c>
      <c r="C6" s="5" t="n">
        <v>4</v>
      </c>
      <c r="D6" s="5" t="n">
        <v>5</v>
      </c>
      <c r="E6" s="7">
        <f>B6*C6*D6</f>
        <v>60.0</v>
      </c>
      <c r="F6" s="7" t="str">
        <f>IF(E6&gt;=30,"КРИТ","НОРМА")</f>
        <v>КРИТ</v>
      </c>
      <c r="G6" s="4" t="inlineStr">
        <is>
          <t>Форензика первички</t>
        </is>
      </c>
      <c r="H6" s="5" t="n">
        <v>1</v>
      </c>
      <c r="I6" s="5" t="n">
        <v>2</v>
      </c>
      <c r="J6" s="7">
        <f>H6*I6*D6</f>
        <v>10.0</v>
      </c>
      <c r="K6" s="7" t="str">
        <f>IF(J6&gt;=30,"КРИТ","СРЕДНИЙ")</f>
        <v>СРЕДНИЙ</v>
      </c>
    </row>
    <row r="7" ht="36" customHeight="1">
      <c r="A7" s="4" t="inlineStr">
        <is>
          <t>Однодневки</t>
        </is>
      </c>
      <c r="B7" s="5" t="n">
        <v>3</v>
      </c>
      <c r="C7" s="5" t="n">
        <v>4</v>
      </c>
      <c r="D7" s="5" t="n">
        <v>5</v>
      </c>
      <c r="E7" s="7">
        <f>B7*C7*D7</f>
        <v>60.0</v>
      </c>
      <c r="F7" s="7" t="str">
        <f>IF(E7&gt;=30,"КРИТ","НОРМА")</f>
        <v>КРИТ</v>
      </c>
      <c r="G7" s="4" t="inlineStr">
        <is>
          <t>Анкета 16 признаков</t>
        </is>
      </c>
      <c r="H7" s="5" t="n">
        <v>1</v>
      </c>
      <c r="I7" s="5" t="n">
        <v>2</v>
      </c>
      <c r="J7" s="7">
        <f>H7*I7*D7</f>
        <v>10.0</v>
      </c>
      <c r="K7" s="7" t="str">
        <f>IF(J7&gt;=30,"КРИТ","СРЕДНИЙ")</f>
        <v>СРЕДНИЙ</v>
      </c>
    </row>
    <row r="8" ht="36" customHeight="1">
      <c r="A8" s="4" t="inlineStr">
        <is>
          <t>Хищение ТМЗ</t>
        </is>
      </c>
      <c r="B8" s="5" t="n">
        <v>4</v>
      </c>
      <c r="C8" s="5" t="n">
        <v>3</v>
      </c>
      <c r="D8" s="5" t="n">
        <v>4</v>
      </c>
      <c r="E8" s="7">
        <f>B8*C8*D8</f>
        <v>48.0</v>
      </c>
      <c r="F8" s="7" t="str">
        <f>IF(E8&gt;=30,"КРИТ","НОРМА")</f>
        <v>КРИТ</v>
      </c>
      <c r="G8" s="4" t="inlineStr">
        <is>
          <t>Внезапная инвентаризация</t>
        </is>
      </c>
      <c r="H8" s="5" t="n">
        <v>2</v>
      </c>
      <c r="I8" s="5" t="n">
        <v>2</v>
      </c>
      <c r="J8" s="7">
        <f>H8*I8*D8</f>
        <v>16.0</v>
      </c>
      <c r="K8" s="7" t="str">
        <f>IF(J8&gt;=30,"КРИТ","СРЕДНИЙ")</f>
        <v>СРЕДНИЙ</v>
      </c>
    </row>
    <row r="9" ht="36" customHeight="1">
      <c r="A9" s="4" t="inlineStr">
        <is>
          <t>Мёртвые души</t>
        </is>
      </c>
      <c r="B9" s="5" t="n">
        <v>3</v>
      </c>
      <c r="C9" s="5" t="n">
        <v>4</v>
      </c>
      <c r="D9" s="5" t="n">
        <v>3</v>
      </c>
      <c r="E9" s="7">
        <f>B9*C9*D9</f>
        <v>36.0</v>
      </c>
      <c r="F9" s="7" t="str">
        <f>IF(E9&gt;=30,"КРИТ","НОРМА")</f>
        <v>КРИТ</v>
      </c>
      <c r="G9" s="4" t="inlineStr">
        <is>
          <t>Биометрия + Карты ЗП</t>
        </is>
      </c>
      <c r="H9" s="5" t="n">
        <v>1</v>
      </c>
      <c r="I9" s="5" t="n">
        <v>2</v>
      </c>
      <c r="J9" s="7">
        <f>H9*I9*D9</f>
        <v>6.0</v>
      </c>
      <c r="K9" s="7" t="str">
        <f>IF(J9&gt;=10,"НИЗКИЙ","НОРМА")</f>
        <v>НОРМА</v>
      </c>
    </row>
    <row r="10" ht="36" customHeight="1">
      <c r="A10" s="4" t="inlineStr">
        <is>
          <t>СРЕДНЕЕ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7">
        <f>AVERAGE(E2:E9)</f>
        <v>63.5</v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7">
        <f>AVERAGE(J2:J9)</f>
        <v>13.0</v>
      </c>
      <c r="K10" s="4" t="inlineStr">
        <is>
          <t>УСПЕХ</t>
        </is>
      </c>
    </row>
    <row r="13">
      <c r="A13" t="inlineStr">
        <is>
          <t>Пояснение</t>
        </is>
      </c>
    </row>
    <row r="14">
      <c r="A14" s="6" t="inlineStr">
        <is>
          <t>RPN — произведение условных порядковых оценок, не вероятность и не ожидаемый денежный убыток. Порог внутренний. Высокая тяжесть последствий требует самостоятельного рассмотрения даже при малом RPN.</t>
        </is>
      </c>
    </row>
    <row r="15"/>
    <row r="16"/>
  </sheetData>
  <autoFilter ref="A1:K10"/>
  <mergeCells count="1">
    <mergeCell ref="A14:K16"/>
  </mergeCells>
  <pageMargins left="0.75" right="0.75" top="1" bottom="1" header="0.5" footer="0.5"/>
  <pageSetup orientation="landscape" paperSize="9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№</t>
        </is>
      </c>
      <c r="B1" s="3" t="inlineStr">
        <is>
          <t>Вопрос анкеты</t>
        </is>
      </c>
      <c r="C1" s="3" t="inlineStr">
        <is>
          <t>Ответ</t>
        </is>
      </c>
      <c r="D1" s="3" t="inlineStr">
        <is>
          <t>Балл</t>
        </is>
      </c>
    </row>
    <row r="2" ht="36" customHeight="1">
      <c r="A2" s="5" t="n">
        <v>1</v>
      </c>
      <c r="B2" s="4" t="inlineStr">
        <is>
          <t>Цена закупки превышает рыночный медианный уровень на &gt; 15%?</t>
        </is>
      </c>
      <c r="C2" s="4" t="inlineStr">
        <is>
          <t>ДА (+25,7%)</t>
        </is>
      </c>
      <c r="D2" s="5" t="n">
        <v>1</v>
      </c>
    </row>
    <row r="3" ht="36" customHeight="1">
      <c r="A3" s="5" t="n">
        <v>2</v>
      </c>
      <c r="B3" s="4" t="inlineStr">
        <is>
          <t>В открытом доступе отсутствуют данные о собственных складах удобрений?</t>
        </is>
      </c>
      <c r="C3" s="4" t="inlineStr">
        <is>
          <t>ДА</t>
        </is>
      </c>
      <c r="D3" s="5" t="n">
        <v>1</v>
      </c>
    </row>
    <row r="4" ht="36" customHeight="1">
      <c r="A4" s="5" t="n">
        <v>3</v>
      </c>
      <c r="B4" s="4" t="inlineStr">
        <is>
          <t>Поставщик является единственным участником без проведения альтернативных КП?</t>
        </is>
      </c>
      <c r="C4" s="4" t="inlineStr">
        <is>
          <t>ДА</t>
        </is>
      </c>
      <c r="D4" s="5" t="n">
        <v>1</v>
      </c>
    </row>
    <row r="5" ht="36" customHeight="1">
      <c r="A5" s="5" t="n">
        <v>4</v>
      </c>
      <c r="B5" s="4" t="inlineStr">
        <is>
          <t>Телефон/email поставщика имеет совпадения с контактами работников снабжения?</t>
        </is>
      </c>
      <c r="C5" s="4" t="inlineStr">
        <is>
          <t>ДА</t>
        </is>
      </c>
      <c r="D5" s="5" t="n">
        <v>1</v>
      </c>
    </row>
    <row r="6" ht="36" customHeight="1">
      <c r="A6" s="5" t="n">
        <v>5</v>
      </c>
      <c r="B6" s="4" t="inlineStr">
        <is>
          <t>Отсутствуют выписки о наличии в штате квалифицированных агрохимиков?</t>
        </is>
      </c>
      <c r="C6" s="4" t="inlineStr">
        <is>
          <t>ДА</t>
        </is>
      </c>
      <c r="D6" s="5" t="n">
        <v>1</v>
      </c>
    </row>
    <row r="7" ht="36" customHeight="1">
      <c r="A7" s="4" t="inlineStr">
        <is>
          <t>ИТОГО</t>
        </is>
      </c>
      <c r="B7" s="4" t="inlineStr">
        <is>
          <t>Количество маркеров «ДА»</t>
        </is>
      </c>
      <c r="C7" s="4" t="inlineStr">
        <is>
          <t>—</t>
        </is>
      </c>
      <c r="D7" s="5" t="n">
        <v>5</v>
      </c>
    </row>
    <row r="10">
      <c r="A10" t="inlineStr">
        <is>
          <t>Пояснение</t>
        </is>
      </c>
    </row>
    <row r="11">
      <c r="A11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2"/>
    <row r="13"/>
  </sheetData>
  <autoFilter ref="A1:D7"/>
  <mergeCells count="1">
    <mergeCell ref="A11:D13"/>
  </mergeCells>
  <pageMargins left="0.75" right="0.75" top="1" bottom="1" header="0.5" footer="0.5"/>
  <pageSetup orientation="landscape" paperSize="9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(Контрагент)</t>
        </is>
      </c>
      <c r="B1" s="3" t="inlineStr">
        <is>
          <t>B (ИНО/ИНН)</t>
        </is>
      </c>
      <c r="C1" s="3" t="inlineStr">
        <is>
          <t>C (Вид ресурса)</t>
        </is>
      </c>
      <c r="D1" s="3" t="inlineStr">
        <is>
          <t>D (Сумма, сом)</t>
        </is>
      </c>
      <c r="E1" s="3" t="inlineStr">
        <is>
          <t>E (Возраст &lt; 1 мес)</t>
        </is>
      </c>
      <c r="F1" s="3" t="inlineStr">
        <is>
          <t>F (Нет мощностей)</t>
        </is>
      </c>
      <c r="G1" s="3" t="inlineStr">
        <is>
          <t>G (Цена &gt; рынка)</t>
        </is>
      </c>
      <c r="H1" s="3" t="inlineStr">
        <is>
          <t>H (Всего "ДА")</t>
        </is>
      </c>
      <c r="I1" s="3" t="inlineStr">
        <is>
          <t>I (Зона риска)</t>
        </is>
      </c>
      <c r="J1" s="3" t="inlineStr">
        <is>
          <t>J (Режим оплаты)</t>
        </is>
      </c>
      <c r="K1" s="3" t="inlineStr">
        <is>
          <t>K (Статус)</t>
        </is>
      </c>
    </row>
    <row r="2" ht="36" customHeight="1">
      <c r="A2" s="4" t="inlineStr">
        <is>
          <t>учебная организация «Контрагент A5D9»</t>
        </is>
      </c>
      <c r="B2" s="4" t="inlineStr">
        <is>
          <t>ID-учебный</t>
        </is>
      </c>
      <c r="C2" s="4" t="inlineStr">
        <is>
          <t>Удобрения</t>
        </is>
      </c>
      <c r="D2" s="5" t="n">
        <v>4180000</v>
      </c>
      <c r="E2" s="4" t="inlineStr">
        <is>
          <t>ДА</t>
        </is>
      </c>
      <c r="F2" s="4" t="inlineStr">
        <is>
          <t>ДА</t>
        </is>
      </c>
      <c r="G2" s="4" t="inlineStr">
        <is>
          <t>ДА</t>
        </is>
      </c>
      <c r="H2" s="7">
        <f>COUNTIF(E2:G2,"ДА")</f>
        <v>3</v>
      </c>
      <c r="I2" s="7" t="str">
        <f>IF(H2&gt;=3,"РАСШИРЕННАЯ ПРОВЕРКА",IF(H2&gt;0,"УТОЧНИТЬ","НЕТ СИГНАЛОВ В 3 ПУНКТАХ"))</f>
        <v>РАСШИРЕННАЯ ПРОВЕРКА</v>
      </c>
      <c r="J2" s="4" t="inlineStr">
        <is>
          <t>Постоплата / Сверка</t>
        </is>
      </c>
      <c r="K2" s="4" t="inlineStr">
        <is>
          <t>Решение после проверки документов</t>
        </is>
      </c>
    </row>
    <row r="3" ht="36" customHeight="1">
      <c r="A3" s="4" t="inlineStr">
        <is>
          <t>ГП Контрагент</t>
        </is>
      </c>
      <c r="B3" s="4" t="inlineStr">
        <is>
          <t>ID-учебный</t>
        </is>
      </c>
      <c r="C3" s="4" t="inlineStr">
        <is>
          <t>ДТ Дизель</t>
        </is>
      </c>
      <c r="D3" s="5" t="n">
        <v>1100000</v>
      </c>
      <c r="E3" s="4" t="inlineStr">
        <is>
          <t>НЕТ</t>
        </is>
      </c>
      <c r="F3" s="4" t="inlineStr">
        <is>
          <t>НЕТ</t>
        </is>
      </c>
      <c r="G3" s="4" t="inlineStr">
        <is>
          <t>НЕТ</t>
        </is>
      </c>
      <c r="H3" s="7">
        <f>COUNTIF(E3:G3,"ДА")</f>
        <v>0</v>
      </c>
      <c r="I3" s="7" t="str">
        <f>IF(H3&gt;=3,"РАСШИРЕННАЯ ПРОВЕРКА",IF(H3&gt;0,"УТОЧНИТЬ","НЕТ СИГНАЛОВ В 3 ПУНКТАХ"))</f>
        <v>НЕТ СИГНАЛОВ В 3 ПУНКТАХ</v>
      </c>
      <c r="J3" s="4" t="inlineStr">
        <is>
          <t>Аванс / Договор</t>
        </is>
      </c>
      <c r="K3" s="4" t="inlineStr">
        <is>
          <t>Решение после проверки документов</t>
        </is>
      </c>
    </row>
    <row r="4" ht="36" customHeight="1">
      <c r="A4" s="4" t="inlineStr">
        <is>
          <t>учебная организация «Контрагент 8BF2»</t>
        </is>
      </c>
      <c r="B4" s="4" t="inlineStr">
        <is>
          <t>ID-учебный</t>
        </is>
      </c>
      <c r="C4" s="4" t="inlineStr">
        <is>
          <t>Запчасти</t>
        </is>
      </c>
      <c r="D4" s="5" t="n">
        <v>300000</v>
      </c>
      <c r="E4" s="4" t="inlineStr">
        <is>
          <t>ДА</t>
        </is>
      </c>
      <c r="F4" s="4" t="inlineStr">
        <is>
          <t>ДА</t>
        </is>
      </c>
      <c r="G4" s="4" t="inlineStr">
        <is>
          <t>ДА</t>
        </is>
      </c>
      <c r="H4" s="7">
        <f>COUNTIF(E4:G4,"ДА")</f>
        <v>3</v>
      </c>
      <c r="I4" s="7" t="str">
        <f>IF(H4&gt;=3,"РАСШИРЕННАЯ ПРОВЕРКА",IF(H4&gt;0,"УТОЧНИТЬ","НЕТ СИГНАЛОВ В 3 ПУНКТАХ"))</f>
        <v>РАСШИРЕННАЯ ПРОВЕРКА</v>
      </c>
      <c r="J4" s="4" t="inlineStr">
        <is>
          <t>100% Постоплата</t>
        </is>
      </c>
      <c r="K4" s="4" t="inlineStr">
        <is>
          <t>Решение после проверки документов</t>
        </is>
      </c>
    </row>
    <row r="5" ht="36" customHeight="1">
      <c r="A5" s="4" t="inlineStr">
        <is>
          <t>учебная организация «Контрагент C715»</t>
        </is>
      </c>
      <c r="B5" s="4" t="inlineStr">
        <is>
          <t>ID-учебный</t>
        </is>
      </c>
      <c r="C5" s="4" t="inlineStr">
        <is>
          <t>Семена Ф65</t>
        </is>
      </c>
      <c r="D5" s="5" t="n">
        <v>1850000</v>
      </c>
      <c r="E5" s="4" t="inlineStr">
        <is>
          <t>НЕТ</t>
        </is>
      </c>
      <c r="F5" s="4" t="inlineStr">
        <is>
          <t>НЕТ</t>
        </is>
      </c>
      <c r="G5" s="4" t="inlineStr">
        <is>
          <t>НЕТ</t>
        </is>
      </c>
      <c r="H5" s="7">
        <f>COUNTIF(E5:G5,"ДА")</f>
        <v>0</v>
      </c>
      <c r="I5" s="7" t="str">
        <f>IF(H5&gt;=3,"РАСШИРЕННАЯ ПРОВЕРКА",IF(H5&gt;0,"УТОЧНИТЬ","НЕТ СИГНАЛОВ В 3 ПУНКТАХ"))</f>
        <v>НЕТ СИГНАЛОВ В 3 ПУНКТАХ</v>
      </c>
      <c r="J5" s="4" t="inlineStr">
        <is>
          <t>Рамочный контракт</t>
        </is>
      </c>
      <c r="K5" s="4" t="inlineStr">
        <is>
          <t>Решение после проверки документов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7430000.0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 этой сокращённой анкете всего 3 признака, поэтому счётчик принимает значения 0–3. Исправлены невозможные значения 5 и 11 и неприменимые пороги 5/10. Полная анкета требует отдельного набора признаков.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(Контрагент)</t>
        </is>
      </c>
      <c r="B1" s="3" t="inlineStr">
        <is>
          <t>B (ИНН)</t>
        </is>
      </c>
      <c r="C1" s="3" t="inlineStr">
        <is>
          <t>C (Ресурс)</t>
        </is>
      </c>
      <c r="D1" s="3" t="inlineStr">
        <is>
          <t>D (Сумма, сом)</t>
        </is>
      </c>
      <c r="E1" s="3" t="inlineStr">
        <is>
          <t>E (Возраст)</t>
        </is>
      </c>
      <c r="F1" s="3" t="inlineStr">
        <is>
          <t>F (Мощности)</t>
        </is>
      </c>
      <c r="G1" s="3" t="inlineStr">
        <is>
          <t>G (Цена &gt; рынка)</t>
        </is>
      </c>
      <c r="H1" s="3" t="inlineStr">
        <is>
          <t>H (Всего "ДА")</t>
        </is>
      </c>
      <c r="I1" s="3" t="inlineStr">
        <is>
          <t>I (Зона риска)</t>
        </is>
      </c>
      <c r="J1" s="3" t="inlineStr">
        <is>
          <t>J (Режим оплаты)</t>
        </is>
      </c>
      <c r="K1" s="3" t="inlineStr">
        <is>
          <t>K (Статус)</t>
        </is>
      </c>
    </row>
    <row r="2" ht="36" customHeight="1">
      <c r="A2" s="4" t="inlineStr">
        <is>
          <t>учебная организация «Контрагент A5D9»</t>
        </is>
      </c>
      <c r="B2" s="4" t="inlineStr">
        <is>
          <t>ID-учебный</t>
        </is>
      </c>
      <c r="C2" s="4" t="inlineStr">
        <is>
          <t>Удобрения</t>
        </is>
      </c>
      <c r="D2" s="5" t="n">
        <v>4180000</v>
      </c>
      <c r="E2" s="4" t="inlineStr">
        <is>
          <t>ДА</t>
        </is>
      </c>
      <c r="F2" s="4" t="inlineStr">
        <is>
          <t>ДА</t>
        </is>
      </c>
      <c r="G2" s="4" t="inlineStr">
        <is>
          <t>ДА</t>
        </is>
      </c>
      <c r="H2" s="7">
        <f>COUNTIF(E2:G2,"ДА")</f>
        <v>3</v>
      </c>
      <c r="I2" s="7" t="str">
        <f>IF(H2&gt;=3,"РАСШИРЕННАЯ ПРОВЕРКА",IF(H2&gt;0,"УТОЧНИТЬ","НЕТ СИГНАЛОВ В 3 ПУНКТАХ"))</f>
        <v>РАСШИРЕННАЯ ПРОВЕРКА</v>
      </c>
      <c r="J2" s="4" t="inlineStr">
        <is>
          <t>Постоплата / Сверка</t>
        </is>
      </c>
      <c r="K2" s="4" t="inlineStr">
        <is>
          <t>Решение после проверки документов</t>
        </is>
      </c>
    </row>
    <row r="3" ht="36" customHeight="1">
      <c r="A3" s="4" t="inlineStr">
        <is>
          <t>ГП Контрагент</t>
        </is>
      </c>
      <c r="B3" s="4" t="inlineStr">
        <is>
          <t>ID-учебный</t>
        </is>
      </c>
      <c r="C3" s="4" t="inlineStr">
        <is>
          <t>ДТ Дизель</t>
        </is>
      </c>
      <c r="D3" s="5" t="n">
        <v>1100000</v>
      </c>
      <c r="E3" s="4" t="inlineStr">
        <is>
          <t>НЕТ</t>
        </is>
      </c>
      <c r="F3" s="4" t="inlineStr">
        <is>
          <t>НЕТ</t>
        </is>
      </c>
      <c r="G3" s="4" t="inlineStr">
        <is>
          <t>НЕТ</t>
        </is>
      </c>
      <c r="H3" s="7">
        <f>COUNTIF(E3:G3,"ДА")</f>
        <v>0</v>
      </c>
      <c r="I3" s="7" t="str">
        <f>IF(H3&gt;=3,"РАСШИРЕННАЯ ПРОВЕРКА",IF(H3&gt;0,"УТОЧНИТЬ","НЕТ СИГНАЛОВ В 3 ПУНКТАХ"))</f>
        <v>НЕТ СИГНАЛОВ В 3 ПУНКТАХ</v>
      </c>
      <c r="J3" s="4" t="inlineStr">
        <is>
          <t>Аванс / Договор</t>
        </is>
      </c>
      <c r="K3" s="4" t="inlineStr">
        <is>
          <t>Решение после проверки документов</t>
        </is>
      </c>
    </row>
    <row r="4" ht="36" customHeight="1">
      <c r="A4" s="4" t="inlineStr">
        <is>
          <t>учебная организация «Контрагент 8BF2»</t>
        </is>
      </c>
      <c r="B4" s="4" t="inlineStr">
        <is>
          <t>ID-учебный</t>
        </is>
      </c>
      <c r="C4" s="4" t="inlineStr">
        <is>
          <t>Запчасти</t>
        </is>
      </c>
      <c r="D4" s="5" t="n">
        <v>300000</v>
      </c>
      <c r="E4" s="4" t="inlineStr">
        <is>
          <t>ДА</t>
        </is>
      </c>
      <c r="F4" s="4" t="inlineStr">
        <is>
          <t>ДА</t>
        </is>
      </c>
      <c r="G4" s="4" t="inlineStr">
        <is>
          <t>ДА</t>
        </is>
      </c>
      <c r="H4" s="7">
        <f>COUNTIF(E4:G4,"ДА")</f>
        <v>3</v>
      </c>
      <c r="I4" s="7" t="str">
        <f>IF(H4&gt;=3,"РАСШИРЕННАЯ ПРОВЕРКА",IF(H4&gt;0,"УТОЧНИТЬ","НЕТ СИГНАЛОВ В 3 ПУНКТАХ"))</f>
        <v>РАСШИРЕННАЯ ПРОВЕРКА</v>
      </c>
      <c r="J4" s="4" t="inlineStr">
        <is>
          <t>100% Постоплата</t>
        </is>
      </c>
      <c r="K4" s="4" t="inlineStr">
        <is>
          <t>Решение после проверки документов</t>
        </is>
      </c>
    </row>
    <row r="5" ht="36" customHeight="1">
      <c r="A5" s="4" t="inlineStr">
        <is>
          <t>учебная организация «Контрагент C715»</t>
        </is>
      </c>
      <c r="B5" s="4" t="inlineStr">
        <is>
          <t>ID-учебный</t>
        </is>
      </c>
      <c r="C5" s="4" t="inlineStr">
        <is>
          <t>Семена Ф65</t>
        </is>
      </c>
      <c r="D5" s="5" t="n">
        <v>1850000</v>
      </c>
      <c r="E5" s="4" t="inlineStr">
        <is>
          <t>НЕТ</t>
        </is>
      </c>
      <c r="F5" s="4" t="inlineStr">
        <is>
          <t>НЕТ</t>
        </is>
      </c>
      <c r="G5" s="4" t="inlineStr">
        <is>
          <t>НЕТ</t>
        </is>
      </c>
      <c r="H5" s="7">
        <f>COUNTIF(E5:G5,"ДА")</f>
        <v>0</v>
      </c>
      <c r="I5" s="7" t="str">
        <f>IF(H5&gt;=3,"РАСШИРЕННАЯ ПРОВЕРКА",IF(H5&gt;0,"УТОЧНИТЬ","НЕТ СИГНАЛОВ В 3 ПУНКТАХ"))</f>
        <v>НЕТ СИГНАЛОВ В 3 ПУНКТАХ</v>
      </c>
      <c r="J5" s="4" t="inlineStr">
        <is>
          <t>Рамочный контракт</t>
        </is>
      </c>
      <c r="K5" s="4" t="inlineStr">
        <is>
          <t>Решение после проверки документов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7430000.0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 этой сокращённой анкете всего 3 признака, поэтому счётчик принимает значения 0–3. Исправлены невозможные значения 5 и 11 и неприменимые пороги 5/10. Полная анкета требует отдельного набора признаков.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(Объект)</t>
        </is>
      </c>
      <c r="B1" s="3" t="inlineStr">
        <is>
          <t>B (Документ А)</t>
        </is>
      </c>
      <c r="C1" s="3" t="inlineStr">
        <is>
          <t>C (Объём А)</t>
        </is>
      </c>
      <c r="D1" s="3" t="inlineStr">
        <is>
          <t>D (Документ Б)</t>
        </is>
      </c>
      <c r="E1" s="3" t="inlineStr">
        <is>
          <t>E (Объём Б)</t>
        </is>
      </c>
      <c r="F1" s="3" t="inlineStr">
        <is>
          <t>F (Разрыв, т)</t>
        </is>
      </c>
      <c r="G1" s="3" t="inlineStr">
        <is>
          <t>G (Цена, сом/т)</t>
        </is>
      </c>
      <c r="H1" s="3" t="inlineStr">
        <is>
          <t>H (Оценка расхождения, сом)</t>
        </is>
      </c>
      <c r="I1" s="3" t="inlineStr">
        <is>
          <t>I (Тип нестыковки)</t>
        </is>
      </c>
      <c r="J1" s="3" t="inlineStr">
        <is>
          <t>J (Статус)</t>
        </is>
      </c>
    </row>
    <row r="2" ht="36" customHeight="1">
      <c r="A2" s="4" t="inlineStr">
        <is>
          <t>Урожай хлопка</t>
        </is>
      </c>
      <c r="B2" s="4" t="inlineStr">
        <is>
          <t>Лист «Куляб»</t>
        </is>
      </c>
      <c r="C2" s="5" t="n">
        <v>1100</v>
      </c>
      <c r="D2" s="4" t="inlineStr">
        <is>
          <t>Лист «Свод»</t>
        </is>
      </c>
      <c r="E2" s="5" t="n">
        <v>617.9</v>
      </c>
      <c r="F2" s="7">
        <f>C2-E2</f>
        <v>482.1</v>
      </c>
      <c r="G2" s="5" t="n">
        <v>6500</v>
      </c>
      <c r="H2" s="7">
        <f>F2*G2</f>
        <v>3133650.0</v>
      </c>
      <c r="I2" s="4" t="inlineStr">
        <is>
          <t>Внутреннее</t>
        </is>
      </c>
      <c r="J2" s="4" t="inlineStr">
        <is>
          <t>Сверить период, единицы и первичные данные</t>
        </is>
      </c>
    </row>
    <row r="3" ht="36" customHeight="1">
      <c r="A3" s="4" t="inlineStr">
        <is>
          <t>Проверка расхода ГСМ</t>
        </is>
      </c>
      <c r="B3" s="4" t="inlineStr">
        <is>
          <t>Акт списания</t>
        </is>
      </c>
      <c r="C3" s="5" t="n">
        <v>120</v>
      </c>
      <c r="D3" s="4" t="inlineStr">
        <is>
          <t>Расчёт по моточасам, т</t>
        </is>
      </c>
      <c r="E3" s="5" t="n">
        <v>110</v>
      </c>
      <c r="F3" s="7">
        <f>C3-E3</f>
        <v>10.0</v>
      </c>
      <c r="G3" s="5" t="n">
        <v>11000</v>
      </c>
      <c r="H3" s="7">
        <f>F3*G3</f>
        <v>110000.0</v>
      </c>
      <c r="I3" s="4" t="inlineStr">
        <is>
          <t>Внешние данные</t>
        </is>
      </c>
      <c r="J3" s="4" t="inlineStr">
        <is>
          <t>Сверить период, единицы и первичные данные</t>
        </is>
      </c>
    </row>
    <row r="4" ht="36" customHeight="1">
      <c r="A4" s="4" t="inlineStr">
        <is>
          <t>Удобрения</t>
        </is>
      </c>
      <c r="B4" s="4" t="inlineStr">
        <is>
          <t>Акт внесения</t>
        </is>
      </c>
      <c r="C4" s="5" t="n">
        <v>200</v>
      </c>
      <c r="D4" s="4" t="inlineStr">
        <is>
          <t>Факт замер</t>
        </is>
      </c>
      <c r="E4" s="5" t="n">
        <v>150</v>
      </c>
      <c r="F4" s="7">
        <f>C4-E4</f>
        <v>50.0</v>
      </c>
      <c r="G4" s="5" t="n">
        <v>5200</v>
      </c>
      <c r="H4" s="7">
        <f>F4*G4</f>
        <v>260000.0</v>
      </c>
      <c r="I4" s="4" t="inlineStr">
        <is>
          <t>Мат. баланс</t>
        </is>
      </c>
      <c r="J4" s="4" t="inlineStr">
        <is>
          <t>Сверить период, единицы и первичные данные</t>
        </is>
      </c>
    </row>
    <row r="5" ht="36" customHeight="1">
      <c r="A5" s="4" t="inlineStr">
        <is>
          <t>Пшеница склад</t>
        </is>
      </c>
      <c r="B5" s="4" t="inlineStr">
        <is>
          <t>Накладная ТТН</t>
        </is>
      </c>
      <c r="C5" s="5" t="n">
        <v>300</v>
      </c>
      <c r="D5" s="4" t="inlineStr">
        <is>
          <t>Весовая база</t>
        </is>
      </c>
      <c r="E5" s="5" t="n">
        <v>300</v>
      </c>
      <c r="F5" s="7">
        <f>C5-E5</f>
        <v>0.0</v>
      </c>
      <c r="G5" s="5" t="n">
        <v>4000</v>
      </c>
      <c r="H5" s="7">
        <f>F5*G5</f>
        <v>0.0</v>
      </c>
      <c r="I5" s="4" t="inlineStr">
        <is>
          <t>Нет</t>
        </is>
      </c>
      <c r="J5" s="4" t="inlineStr">
        <is>
          <t>Сверить период, единицы и первичные данные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Разные продукты: не суммировать</t>
        </is>
      </c>
      <c r="G6" s="4" t="inlineStr">
        <is>
          <t>—</t>
        </is>
      </c>
      <c r="H6" s="7">
        <f>SUM(H2:H5)</f>
        <v>3503650.0</v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Условный независимый ориентир для топлива — 110 т по моточасам, а не нулевой объём из прогноза погоды. Денежные оценки означают расхождения по учебной цене, не установленный ущерб. Совпадение итогов не доказывает полноту учёта.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(Объект)</t>
        </is>
      </c>
      <c r="B1" s="3" t="inlineStr">
        <is>
          <t>B (Документ А)</t>
        </is>
      </c>
      <c r="C1" s="3" t="inlineStr">
        <is>
          <t>C (Объём А)</t>
        </is>
      </c>
      <c r="D1" s="3" t="inlineStr">
        <is>
          <t>D (Документ Б)</t>
        </is>
      </c>
      <c r="E1" s="3" t="inlineStr">
        <is>
          <t>E (Объём Б)</t>
        </is>
      </c>
      <c r="F1" s="3" t="inlineStr">
        <is>
          <t>F (Разрыв, т)</t>
        </is>
      </c>
      <c r="G1" s="3" t="inlineStr">
        <is>
          <t>G (Цена, сом/т)</t>
        </is>
      </c>
      <c r="H1" s="3" t="inlineStr">
        <is>
          <t>H (Оценка расхождения, сом)</t>
        </is>
      </c>
      <c r="I1" s="3" t="inlineStr">
        <is>
          <t>I (Тип нестыковки)</t>
        </is>
      </c>
      <c r="J1" s="3" t="inlineStr">
        <is>
          <t>J (Статус)</t>
        </is>
      </c>
    </row>
    <row r="2" ht="36" customHeight="1">
      <c r="A2" s="4" t="inlineStr">
        <is>
          <t>Урожай хлопка</t>
        </is>
      </c>
      <c r="B2" s="4" t="inlineStr">
        <is>
          <t>Лист «Куляб»</t>
        </is>
      </c>
      <c r="C2" s="5" t="n">
        <v>1100</v>
      </c>
      <c r="D2" s="4" t="inlineStr">
        <is>
          <t>Лист «Свод»</t>
        </is>
      </c>
      <c r="E2" s="5" t="n">
        <v>617.9</v>
      </c>
      <c r="F2" s="7">
        <f>C2-E2</f>
        <v>482.1</v>
      </c>
      <c r="G2" s="5" t="n">
        <v>6500</v>
      </c>
      <c r="H2" s="7">
        <f>F2*G2</f>
        <v>3133650.0</v>
      </c>
      <c r="I2" s="4" t="inlineStr">
        <is>
          <t>Внутреннее</t>
        </is>
      </c>
      <c r="J2" s="4" t="inlineStr">
        <is>
          <t>Сверить период, единицы и первичные данные</t>
        </is>
      </c>
    </row>
    <row r="3" ht="36" customHeight="1">
      <c r="A3" s="4" t="inlineStr">
        <is>
          <t>Проверка расхода ГСМ</t>
        </is>
      </c>
      <c r="B3" s="4" t="inlineStr">
        <is>
          <t>Акт списания</t>
        </is>
      </c>
      <c r="C3" s="5" t="n">
        <v>120</v>
      </c>
      <c r="D3" s="4" t="inlineStr">
        <is>
          <t>Расчёт по моточасам, т</t>
        </is>
      </c>
      <c r="E3" s="5" t="n">
        <v>110</v>
      </c>
      <c r="F3" s="7">
        <f>C3-E3</f>
        <v>10.0</v>
      </c>
      <c r="G3" s="5" t="n">
        <v>11000</v>
      </c>
      <c r="H3" s="7">
        <f>F3*G3</f>
        <v>110000.0</v>
      </c>
      <c r="I3" s="4" t="inlineStr">
        <is>
          <t>Внешние данные</t>
        </is>
      </c>
      <c r="J3" s="4" t="inlineStr">
        <is>
          <t>Сверить период, единицы и первичные данные</t>
        </is>
      </c>
    </row>
    <row r="4" ht="36" customHeight="1">
      <c r="A4" s="4" t="inlineStr">
        <is>
          <t>Удобрения</t>
        </is>
      </c>
      <c r="B4" s="4" t="inlineStr">
        <is>
          <t>Акт внесения</t>
        </is>
      </c>
      <c r="C4" s="5" t="n">
        <v>200</v>
      </c>
      <c r="D4" s="4" t="inlineStr">
        <is>
          <t>Факт замер</t>
        </is>
      </c>
      <c r="E4" s="5" t="n">
        <v>150</v>
      </c>
      <c r="F4" s="7">
        <f>C4-E4</f>
        <v>50.0</v>
      </c>
      <c r="G4" s="5" t="n">
        <v>5200</v>
      </c>
      <c r="H4" s="7">
        <f>F4*G4</f>
        <v>260000.0</v>
      </c>
      <c r="I4" s="4" t="inlineStr">
        <is>
          <t>Мат. баланс</t>
        </is>
      </c>
      <c r="J4" s="4" t="inlineStr">
        <is>
          <t>Сверить период, единицы и первичные данные</t>
        </is>
      </c>
    </row>
    <row r="5" ht="36" customHeight="1">
      <c r="A5" s="4" t="inlineStr">
        <is>
          <t>Пшеница склад</t>
        </is>
      </c>
      <c r="B5" s="4" t="inlineStr">
        <is>
          <t>Накладная ТТН</t>
        </is>
      </c>
      <c r="C5" s="5" t="n">
        <v>300</v>
      </c>
      <c r="D5" s="4" t="inlineStr">
        <is>
          <t>Весовая база</t>
        </is>
      </c>
      <c r="E5" s="5" t="n">
        <v>300</v>
      </c>
      <c r="F5" s="7">
        <f>C5-E5</f>
        <v>0.0</v>
      </c>
      <c r="G5" s="5" t="n">
        <v>4000</v>
      </c>
      <c r="H5" s="7">
        <f>F5*G5</f>
        <v>0.0</v>
      </c>
      <c r="I5" s="4" t="inlineStr">
        <is>
          <t>Нет</t>
        </is>
      </c>
      <c r="J5" s="4" t="inlineStr">
        <is>
          <t>Сверить период, единицы и первичные данные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Разные продукты: не суммировать</t>
        </is>
      </c>
      <c r="G6" s="4" t="inlineStr">
        <is>
          <t>—</t>
        </is>
      </c>
      <c r="H6" s="7">
        <f>SUM(H2:H5)</f>
        <v>3503650.0</v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Условный независимый ориентир для топлива — 110 т по моточасам, а не нулевой объём из прогноза погоды. Денежные оценки означают расхождения по учебной цене, не установленный ущерб. Совпадение итогов не доказывает полноту учёта.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(Зона комплайнса)</t>
        </is>
      </c>
      <c r="B1" s="3" t="inlineStr">
        <is>
          <t>B (Риск)</t>
        </is>
      </c>
      <c r="C1" s="3" t="inlineStr">
        <is>
          <t>C (KRI-индикатор)</t>
        </is>
      </c>
      <c r="D1" s="3" t="inlineStr">
        <is>
          <t>D (CAPEX контроля, сом)</t>
        </is>
      </c>
      <c r="E1" s="3" t="inlineStr">
        <is>
          <t>E (OPEX контроля, сом)</t>
        </is>
      </c>
      <c r="F1" s="3" t="inlineStr">
        <is>
          <t>F (Ожидаемая экономия/год, сценарий)</t>
        </is>
      </c>
      <c r="G1" s="3" t="inlineStr">
        <is>
          <t>G (Чистый поток, сом)</t>
        </is>
      </c>
      <c r="H1" s="3" t="inlineStr">
        <is>
          <t>H (Payback, лет)</t>
        </is>
      </c>
      <c r="I1" s="3" t="inlineStr">
        <is>
          <t>I (NPV, 5 лет, r=15%)</t>
        </is>
      </c>
      <c r="J1" s="3" t="inlineStr">
        <is>
          <t>J (Статус GRC)</t>
        </is>
      </c>
    </row>
    <row r="2" ht="36" customHeight="1">
      <c r="A2" s="4" t="inlineStr">
        <is>
          <t>Контроль ГСМ</t>
        </is>
      </c>
      <c r="B2" s="4" t="inlineStr">
        <is>
          <t>Слив дизеля</t>
        </is>
      </c>
      <c r="C2" s="4" t="inlineStr">
        <is>
          <t>Потеря сигнала GPS</t>
        </is>
      </c>
      <c r="D2" s="5" t="n">
        <v>50000</v>
      </c>
      <c r="E2" s="5" t="n">
        <v>10000</v>
      </c>
      <c r="F2" s="5" t="n">
        <v>200000</v>
      </c>
      <c r="G2" s="7">
        <f>F2-E2</f>
        <v>190000.0</v>
      </c>
      <c r="H2" s="7">
        <f>D2/G2</f>
        <v>0.2631578947368421</v>
      </c>
      <c r="I2" s="8">
        <f>-D2+G2*(1-1.15^(-5))/0.15</f>
        <v>586909.4686221662</v>
      </c>
      <c r="J2" s="7" t="str">
        <f>IF(I2&gt;0,"NPV ПОЛОЖИТЕЛЬНА","NPV НЕПОЛОЖИТЕЛЬНА")</f>
        <v>NPV ПОЛОЖИТЕЛЬНА</v>
      </c>
    </row>
    <row r="3" ht="36" customHeight="1">
      <c r="A3" s="4" t="inlineStr">
        <is>
          <t>Весовая урожая</t>
        </is>
      </c>
      <c r="B3" s="4" t="inlineStr">
        <is>
          <t>Увод сырца</t>
        </is>
      </c>
      <c r="C3" s="4" t="inlineStr">
        <is>
          <t>Отклонение ц/га &gt; 15%</t>
        </is>
      </c>
      <c r="D3" s="5" t="n">
        <v>120000</v>
      </c>
      <c r="E3" s="5" t="n">
        <v>20000</v>
      </c>
      <c r="F3" s="5" t="n">
        <v>80000</v>
      </c>
      <c r="G3" s="7">
        <f>F3-E3</f>
        <v>60000.0</v>
      </c>
      <c r="H3" s="7">
        <f>D3/G3</f>
        <v>2.0</v>
      </c>
      <c r="I3" s="8">
        <f>-D3+G3*(1-1.15^(-5))/0.15</f>
        <v>81129.30588068406</v>
      </c>
      <c r="J3" s="7" t="str">
        <f>IF(I3&gt;0,"NPV ПОЛОЖИТЕЛЬНА","NPV НЕПОЛОЖИТЕЛЬНА")</f>
        <v>NPV ПОЛОЖИТЕЛЬНА</v>
      </c>
    </row>
    <row r="4" ht="36" customHeight="1">
      <c r="A4" s="4" t="inlineStr">
        <is>
          <t>Проверка контрагентов</t>
        </is>
      </c>
      <c r="B4" s="4" t="inlineStr">
        <is>
          <t>Однодневки</t>
        </is>
      </c>
      <c r="C4" s="4" t="inlineStr">
        <is>
          <t>Скоринг &gt; 10 "ДА"</t>
        </is>
      </c>
      <c r="D4" s="5" t="n">
        <v>15000</v>
      </c>
      <c r="E4" s="5" t="n">
        <v>5000</v>
      </c>
      <c r="F4" s="5" t="n">
        <v>760000</v>
      </c>
      <c r="G4" s="7">
        <f>F4-E4</f>
        <v>755000.0</v>
      </c>
      <c r="H4" s="7">
        <f>D4/G4</f>
        <v>0.019867549668874173</v>
      </c>
      <c r="I4" s="8">
        <f>-D4+G4*(1-1.15^(-5))/0.15</f>
        <v>2515877.0989986076</v>
      </c>
      <c r="J4" s="7" t="str">
        <f>IF(I4&gt;0,"NPV ПОЛОЖИТЕЛЬНА","NPV НЕПОЛОЖИТЕЛЬНА")</f>
        <v>NPV ПОЛОЖИТЕЛЬНА</v>
      </c>
    </row>
    <row r="5" ht="36" customHeight="1">
      <c r="A5" s="4" t="inlineStr">
        <is>
          <t>Избыточный аудит</t>
        </is>
      </c>
      <c r="B5" s="4" t="inlineStr">
        <is>
          <t>Формальный</t>
        </is>
      </c>
      <c r="C5" s="4" t="inlineStr">
        <is>
          <t>Дублирование отчётов</t>
        </is>
      </c>
      <c r="D5" s="5" t="n">
        <v>300000</v>
      </c>
      <c r="E5" s="5" t="n">
        <v>50000</v>
      </c>
      <c r="F5" s="5" t="n">
        <v>100000</v>
      </c>
      <c r="G5" s="7">
        <f>F5-E5</f>
        <v>50000.0</v>
      </c>
      <c r="H5" s="7">
        <f>D5/G5</f>
        <v>6.0</v>
      </c>
      <c r="I5" s="8">
        <f>-D5+G5*(1-1.15^(-5))/0.15</f>
        <v>-132392.24509942994</v>
      </c>
      <c r="J5" s="7" t="str">
        <f>IF(I5&gt;0,"NPV ПОЛОЖИТЕЛЬНА","NPV НЕПОЛОЖИТЕЛЬНА")</f>
        <v>NPV НЕПОЛОЖИТЕЛЬНА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485000.0</v>
      </c>
      <c r="E6" s="7">
        <f>SUM(E2:E5)</f>
        <v>85000.0</v>
      </c>
      <c r="F6" s="7">
        <f>SUM(F2:F5)</f>
        <v>1140000.0</v>
      </c>
      <c r="G6" s="7">
        <f>SUM(G2:G5)</f>
        <v>1055000.0</v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3" t="inlineStr">
        <is>
          <t>A (Зона)</t>
        </is>
      </c>
      <c r="B1" s="3" t="inlineStr">
        <is>
          <t>B (Риск)</t>
        </is>
      </c>
      <c r="C1" s="3" t="inlineStr">
        <is>
          <t>C (KRI)</t>
        </is>
      </c>
      <c r="D1" s="3" t="inlineStr">
        <is>
          <t>D (CAPEX)</t>
        </is>
      </c>
      <c r="E1" s="3" t="inlineStr">
        <is>
          <t>E (OPEX)</t>
        </is>
      </c>
      <c r="F1" s="3" t="inlineStr">
        <is>
          <t>F (Ожидаемая экономия/год, сценарий)</t>
        </is>
      </c>
      <c r="G1" s="3" t="inlineStr">
        <is>
          <t>G (Чистый поток)</t>
        </is>
      </c>
      <c r="H1" s="3" t="inlineStr">
        <is>
          <t>H (Payback, лет)</t>
        </is>
      </c>
      <c r="I1" s="3" t="inlineStr">
        <is>
          <t>I (NPV, 5 лет, r=15%)</t>
        </is>
      </c>
      <c r="J1" s="3" t="inlineStr">
        <is>
          <t>J (Статус GRC)</t>
        </is>
      </c>
    </row>
    <row r="2" ht="36" customHeight="1">
      <c r="A2" s="4" t="inlineStr">
        <is>
          <t>Контроль ГСМ</t>
        </is>
      </c>
      <c r="B2" s="4" t="inlineStr">
        <is>
          <t>Слив дизеля</t>
        </is>
      </c>
      <c r="C2" s="4" t="inlineStr">
        <is>
          <t>Потеря GPS</t>
        </is>
      </c>
      <c r="D2" s="5" t="n">
        <v>50000</v>
      </c>
      <c r="E2" s="5" t="n">
        <v>10000</v>
      </c>
      <c r="F2" s="5" t="n">
        <v>200000</v>
      </c>
      <c r="G2" s="7">
        <f>F2-E2</f>
        <v>190000.0</v>
      </c>
      <c r="H2" s="7">
        <f>D2/G2</f>
        <v>0.2631578947368421</v>
      </c>
      <c r="I2" s="8">
        <f>-D2+G2*(1-1.15^(-5))/0.15</f>
        <v>586909.4686221662</v>
      </c>
      <c r="J2" s="7" t="str">
        <f>IF(I2&gt;0,"NPV ПОЛОЖИТЕЛЬНА","NPV НЕПОЛОЖИТЕЛЬНА")</f>
        <v>NPV ПОЛОЖИТЕЛЬНА</v>
      </c>
    </row>
    <row r="3" ht="36" customHeight="1">
      <c r="A3" s="4" t="inlineStr">
        <is>
          <t>Весовая</t>
        </is>
      </c>
      <c r="B3" s="4" t="inlineStr">
        <is>
          <t>Увод сырца</t>
        </is>
      </c>
      <c r="C3" s="4" t="inlineStr">
        <is>
          <t>Отклонение ц/га</t>
        </is>
      </c>
      <c r="D3" s="5" t="n">
        <v>120000</v>
      </c>
      <c r="E3" s="5" t="n">
        <v>20000</v>
      </c>
      <c r="F3" s="5" t="n">
        <v>80000</v>
      </c>
      <c r="G3" s="7">
        <f>F3-E3</f>
        <v>60000.0</v>
      </c>
      <c r="H3" s="7">
        <f>D3/G3</f>
        <v>2.0</v>
      </c>
      <c r="I3" s="8">
        <f>-D3+G3*(1-1.15^(-5))/0.15</f>
        <v>81129.30588068406</v>
      </c>
      <c r="J3" s="7" t="str">
        <f>IF(I3&gt;0,"NPV ПОЛОЖИТЕЛЬНА","NPV НЕПОЛОЖИТЕЛЬНА")</f>
        <v>NPV ПОЛОЖИТЕЛЬНА</v>
      </c>
    </row>
    <row r="4" ht="36" customHeight="1">
      <c r="A4" s="4" t="inlineStr">
        <is>
          <t>Контрагенты</t>
        </is>
      </c>
      <c r="B4" s="4" t="inlineStr">
        <is>
          <t>Однодневки</t>
        </is>
      </c>
      <c r="C4" s="4" t="inlineStr">
        <is>
          <t>Скоринг &gt; 10</t>
        </is>
      </c>
      <c r="D4" s="5" t="n">
        <v>15000</v>
      </c>
      <c r="E4" s="5" t="n">
        <v>5000</v>
      </c>
      <c r="F4" s="5" t="n">
        <v>760000</v>
      </c>
      <c r="G4" s="7">
        <f>F4-E4</f>
        <v>755000.0</v>
      </c>
      <c r="H4" s="7">
        <f>D4/G4</f>
        <v>0.019867549668874173</v>
      </c>
      <c r="I4" s="8">
        <f>-D4+G4*(1-1.15^(-5))/0.15</f>
        <v>2515877.0989986076</v>
      </c>
      <c r="J4" s="7" t="str">
        <f>IF(I4&gt;0,"NPV ПОЛОЖИТЕЛЬНА","NPV НЕПОЛОЖИТЕЛЬНА")</f>
        <v>NPV ПОЛОЖИТЕЛЬНА</v>
      </c>
    </row>
    <row r="5" ht="36" customHeight="1">
      <c r="A5" s="4" t="inlineStr">
        <is>
          <t>Аудит</t>
        </is>
      </c>
      <c r="B5" s="4" t="inlineStr">
        <is>
          <t>Формальный</t>
        </is>
      </c>
      <c r="C5" s="4" t="inlineStr">
        <is>
          <t>Дублирование</t>
        </is>
      </c>
      <c r="D5" s="5" t="n">
        <v>300000</v>
      </c>
      <c r="E5" s="5" t="n">
        <v>50000</v>
      </c>
      <c r="F5" s="5" t="n">
        <v>100000</v>
      </c>
      <c r="G5" s="7">
        <f>F5-E5</f>
        <v>50000.0</v>
      </c>
      <c r="H5" s="7">
        <f>D5/G5</f>
        <v>6.0</v>
      </c>
      <c r="I5" s="8">
        <f>-D5+G5*(1-1.15^(-5))/0.15</f>
        <v>-132392.24509942994</v>
      </c>
      <c r="J5" s="7" t="str">
        <f>IF(I5&gt;0,"NPV ПОЛОЖИТЕЛЬНА","NPV НЕПОЛОЖИТЕЛЬНА")</f>
        <v>NPV НЕПОЛОЖИТЕЛЬНА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485000.0</v>
      </c>
      <c r="E6" s="7">
        <f>SUM(E2:E5)</f>
        <v>85000.0</v>
      </c>
      <c r="F6" s="7">
        <f>SUM(F2:F5)</f>
        <v>1140000.0</v>
      </c>
      <c r="G6" s="7">
        <f>SUM(G2:G5)</f>
        <v>1055000.0</v>
      </c>
      <c r="H6" s="4" t="inlineStr">
        <is>
          <t>—</t>
        </is>
      </c>
      <c r="I6" s="4" t="inlineStr">
        <is>
          <t>—</t>
        </is>
      </c>
      <c r="J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1"/>
    <row r="12"/>
  </sheetData>
  <autoFilter ref="A1:J6"/>
  <mergeCells count="1">
    <mergeCell ref="A10:J12"/>
  </mergeCells>
  <pageMargins left="0.75" right="0.75" top="1" bottom="1" header="0.5" footer="0.5"/>
  <pageSetup orientation="landscape" paperSize="9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Роль</t>
        </is>
      </c>
      <c r="B1" s="3" t="inlineStr">
        <is>
          <t>Регулирующий стандарт</t>
        </is>
      </c>
      <c r="C1" s="3" t="inlineStr">
        <is>
          <t>Главный фокус</t>
        </is>
      </c>
      <c r="D1" s="3" t="inlineStr">
        <is>
          <t>Связь с курсом</t>
        </is>
      </c>
    </row>
    <row r="2" ht="36" customHeight="1">
      <c r="A2" s="4" t="inlineStr">
        <is>
          <t>Аудитор</t>
        </is>
      </c>
      <c r="B2" s="4" t="inlineStr">
        <is>
          <t>МСА (ISA)</t>
        </is>
      </c>
      <c r="C2" s="4" t="inlineStr">
        <is>
          <t>Независимая проверка достоверности отчётности</t>
        </is>
      </c>
      <c r="D2" s="4" t="inlineStr">
        <is>
          <t>Баланс, ОПУ, ДДС</t>
        </is>
      </c>
    </row>
    <row r="3" ht="36" customHeight="1">
      <c r="A3" s="4" t="inlineStr">
        <is>
          <t>Внутренний аудитор</t>
        </is>
      </c>
      <c r="B3" s="4" t="inlineStr">
        <is>
          <t>Профстандарт «Внутренний аудитор»</t>
        </is>
      </c>
      <c r="C3" s="4" t="inlineStr">
        <is>
          <t>Оценка эффективности СВК и бизнес-процессов</t>
        </is>
      </c>
      <c r="D3" s="4" t="inlineStr">
        <is>
          <t>Система внутреннего контроля (7.1)</t>
        </is>
      </c>
    </row>
    <row r="4" ht="36" customHeight="1">
      <c r="A4" s="4" t="inlineStr">
        <is>
          <t>Риск-менеджер</t>
        </is>
      </c>
      <c r="B4" s="4" t="inlineStr">
        <is>
          <t>ИСО/МЭК 31010 / COSO ERM</t>
        </is>
      </c>
      <c r="C4" s="4" t="inlineStr">
        <is>
          <t>Количественный анализ и ранжирование рисков</t>
        </is>
      </c>
      <c r="D4" s="4" t="inlineStr">
        <is>
          <t>Карта FMEA, индекс RPN (7.2), GRC (7.5)</t>
        </is>
      </c>
    </row>
    <row r="5" ht="36" customHeight="1">
      <c r="A5" s="4" t="inlineStr">
        <is>
          <t>Форензик / CFE</t>
        </is>
      </c>
      <c r="B5" s="4" t="inlineStr">
        <is>
          <t>Стандарты ACFE</t>
        </is>
      </c>
      <c r="C5" s="4" t="inlineStr">
        <is>
          <t>Расследование экономических преступлений и аномалий</t>
        </is>
      </c>
      <c r="D5" s="4" t="inlineStr">
        <is>
          <t>Закон Бенфорда (5.8), Форензика первички (7.4)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D5"/>
  <mergeCells count="1">
    <mergeCell ref="A9:D11"/>
  </mergeCells>
  <pageMargins left="0.75" right="0.75" top="1" bottom="1" header="0.5" footer="0.5"/>
  <pageSetup orientation="landscape" paperSize="9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(Область ЭБ)</t>
        </is>
      </c>
      <c r="B1" s="3" t="inlineStr">
        <is>
          <t>B (Стандарт/Инструмент)</t>
        </is>
      </c>
      <c r="C1" s="3" t="inlineStr">
        <is>
          <t>C (Затраты на внедрение, сом)</t>
        </is>
      </c>
      <c r="D1" s="3" t="inlineStr">
        <is>
          <t>D (Ожидаемая экономия, условный сценарий)</t>
        </is>
      </c>
      <c r="E1" s="3" t="inlineStr">
        <is>
          <t>E (Чистый эффект, сом)</t>
        </is>
      </c>
      <c r="F1" s="3" t="inlineStr">
        <is>
          <t>F (ROI, %)</t>
        </is>
      </c>
      <c r="G1" s="3" t="inlineStr">
        <is>
          <t>G (Уровень готовности)</t>
        </is>
      </c>
      <c r="H1" s="3" t="inlineStr">
        <is>
          <t>H (Целевая роль)</t>
        </is>
      </c>
      <c r="I1" s="3" t="inlineStr">
        <is>
          <t>I (Статус проф)</t>
        </is>
      </c>
    </row>
    <row r="2" ht="36" customHeight="1">
      <c r="A2" s="4" t="inlineStr">
        <is>
          <t>Внутренний контроль</t>
        </is>
      </c>
      <c r="B2" s="4" t="inlineStr">
        <is>
          <t>СВК / Разделение ролей</t>
        </is>
      </c>
      <c r="C2" s="5" t="n">
        <v>10000</v>
      </c>
      <c r="D2" s="5" t="n">
        <v>3250000</v>
      </c>
      <c r="E2" s="7">
        <f>D2-C2</f>
        <v>3240000.0</v>
      </c>
      <c r="F2" s="7">
        <f>E2/C2*100</f>
        <v>32400.0</v>
      </c>
      <c r="G2" s="9" t="n">
        <v>0.8</v>
      </c>
      <c r="H2" s="4" t="inlineStr">
        <is>
          <t>Внутренний аудитор</t>
        </is>
      </c>
      <c r="I2" s="4" t="inlineStr">
        <is>
          <t>Проект учебного решения</t>
        </is>
      </c>
    </row>
    <row r="3" ht="36" customHeight="1">
      <c r="A3" s="4" t="inlineStr">
        <is>
          <t>Закупочный контроль</t>
        </is>
      </c>
      <c r="B3" s="4" t="inlineStr">
        <is>
          <t>ПР 400-ОД / 3 КП</t>
        </is>
      </c>
      <c r="C3" s="5" t="n">
        <v>5000</v>
      </c>
      <c r="D3" s="5" t="n">
        <v>760000</v>
      </c>
      <c r="E3" s="7">
        <f>D3-C3</f>
        <v>755000.0</v>
      </c>
      <c r="F3" s="7">
        <f>E3/C3*100</f>
        <v>15100.0</v>
      </c>
      <c r="G3" s="9" t="n">
        <v>0.9</v>
      </c>
      <c r="H3" s="4" t="inlineStr">
        <is>
          <t>Комплаенс-контролёр</t>
        </is>
      </c>
      <c r="I3" s="4" t="inlineStr">
        <is>
          <t>Проект учебного решения</t>
        </is>
      </c>
    </row>
    <row r="4" ht="36" customHeight="1">
      <c r="A4" s="4" t="inlineStr">
        <is>
          <t>Контроль ГСМ и ТМЗ</t>
        </is>
      </c>
      <c r="B4" s="4" t="inlineStr">
        <is>
          <t>GPS / ДУТ / Шаблон 08</t>
        </is>
      </c>
      <c r="C4" s="5" t="n">
        <v>50000</v>
      </c>
      <c r="D4" s="5" t="n">
        <v>200000</v>
      </c>
      <c r="E4" s="7">
        <f>D4-C4</f>
        <v>150000.0</v>
      </c>
      <c r="F4" s="7">
        <f>E4/C4*100</f>
        <v>300.0</v>
      </c>
      <c r="G4" s="9" t="n">
        <v>1</v>
      </c>
      <c r="H4" s="4" t="inlineStr">
        <is>
          <t>Агроэкономист-эксперт</t>
        </is>
      </c>
      <c r="I4" s="4" t="inlineStr">
        <is>
          <t>Проект учебного решения</t>
        </is>
      </c>
    </row>
    <row r="5" ht="36" customHeight="1">
      <c r="A5" s="4" t="inlineStr">
        <is>
          <t>Комплексный аудит</t>
        </is>
      </c>
      <c r="B5" s="4" t="inlineStr">
        <is>
          <t>CFE / Форензика</t>
        </is>
      </c>
      <c r="C5" s="5" t="n">
        <v>120000</v>
      </c>
      <c r="D5" s="5" t="n">
        <v>4120000</v>
      </c>
      <c r="E5" s="7">
        <f>D5-C5</f>
        <v>4000000.0</v>
      </c>
      <c r="F5" s="7">
        <f>E5/C5*100</f>
        <v>3333.3333333333335</v>
      </c>
      <c r="G5" s="9" t="n">
        <v>0.75</v>
      </c>
      <c r="H5" s="4" t="inlineStr">
        <is>
          <t>Руководитель СЭБ</t>
        </is>
      </c>
      <c r="I5" s="4" t="inlineStr">
        <is>
          <t>Проект учебного решения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185000.0</v>
      </c>
      <c r="D6" s="7">
        <f>SUM(D2:D5)</f>
        <v>8330000.0</v>
      </c>
      <c r="E6" s="7">
        <f>SUM(E2:E5)</f>
        <v>8145000.0</v>
      </c>
      <c r="F6" s="7">
        <f>E6/C6*100</f>
        <v>4402.7027027027025</v>
      </c>
      <c r="G6" s="7">
        <f>AVERAGE(G2:G5)</f>
        <v>0.8625</v>
      </c>
      <c r="H6" s="4" t="inlineStr">
        <is>
          <t>—</t>
        </is>
      </c>
      <c r="I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6" customHeight="1">
      <c r="A1" s="3" t="inlineStr">
        <is>
          <t>A (Область ЭБ)</t>
        </is>
      </c>
      <c r="B1" s="3" t="inlineStr">
        <is>
          <t>B (Стандарт)</t>
        </is>
      </c>
      <c r="C1" s="3" t="inlineStr">
        <is>
          <t>C (Затраты, сом)</t>
        </is>
      </c>
      <c r="D1" s="3" t="inlineStr">
        <is>
          <t>D (Ожидаемая экономия, условный сценарий)</t>
        </is>
      </c>
      <c r="E1" s="3" t="inlineStr">
        <is>
          <t>E (Чистый эффект, сом)</t>
        </is>
      </c>
      <c r="F1" s="3" t="inlineStr">
        <is>
          <t>F (ROI, %)</t>
        </is>
      </c>
      <c r="G1" s="3" t="inlineStr">
        <is>
          <t>G (Готовность)</t>
        </is>
      </c>
      <c r="H1" s="3" t="inlineStr">
        <is>
          <t>H (Целевая роль)</t>
        </is>
      </c>
      <c r="I1" s="3" t="inlineStr">
        <is>
          <t>I (Статус)</t>
        </is>
      </c>
    </row>
    <row r="2" ht="36" customHeight="1">
      <c r="A2" s="4" t="inlineStr">
        <is>
          <t>Внутренний контроль</t>
        </is>
      </c>
      <c r="B2" s="4" t="inlineStr">
        <is>
          <t>СВК / Разделение</t>
        </is>
      </c>
      <c r="C2" s="5" t="n">
        <v>10000</v>
      </c>
      <c r="D2" s="5" t="n">
        <v>3250000</v>
      </c>
      <c r="E2" s="7">
        <f>D2-C2</f>
        <v>3240000.0</v>
      </c>
      <c r="F2" s="7">
        <f>E2/C2*100</f>
        <v>32400.0</v>
      </c>
      <c r="G2" s="9" t="n">
        <v>0.8</v>
      </c>
      <c r="H2" s="4" t="inlineStr">
        <is>
          <t>Внутренний аудитор</t>
        </is>
      </c>
      <c r="I2" s="4" t="inlineStr">
        <is>
          <t>Проект учебного решения</t>
        </is>
      </c>
    </row>
    <row r="3" ht="36" customHeight="1">
      <c r="A3" s="4" t="inlineStr">
        <is>
          <t>Закупочный контроль</t>
        </is>
      </c>
      <c r="B3" s="4" t="inlineStr">
        <is>
          <t>ПР 400-ОД / 3 КП</t>
        </is>
      </c>
      <c r="C3" s="5" t="n">
        <v>5000</v>
      </c>
      <c r="D3" s="5" t="n">
        <v>760000</v>
      </c>
      <c r="E3" s="7">
        <f>D3-C3</f>
        <v>755000.0</v>
      </c>
      <c r="F3" s="7">
        <f>E3/C3*100</f>
        <v>15100.0</v>
      </c>
      <c r="G3" s="9" t="n">
        <v>0.9</v>
      </c>
      <c r="H3" s="4" t="inlineStr">
        <is>
          <t>Комплаенс-контролёр</t>
        </is>
      </c>
      <c r="I3" s="4" t="inlineStr">
        <is>
          <t>Проект учебного решения</t>
        </is>
      </c>
    </row>
    <row r="4" ht="36" customHeight="1">
      <c r="A4" s="4" t="inlineStr">
        <is>
          <t>Контроль ГСМ</t>
        </is>
      </c>
      <c r="B4" s="4" t="inlineStr">
        <is>
          <t>GPS / ДУТ / Ш08</t>
        </is>
      </c>
      <c r="C4" s="5" t="n">
        <v>50000</v>
      </c>
      <c r="D4" s="5" t="n">
        <v>200000</v>
      </c>
      <c r="E4" s="7">
        <f>D4-C4</f>
        <v>150000.0</v>
      </c>
      <c r="F4" s="7">
        <f>E4/C4*100</f>
        <v>300.0</v>
      </c>
      <c r="G4" s="9" t="n">
        <v>1</v>
      </c>
      <c r="H4" s="4" t="inlineStr">
        <is>
          <t>Агроэкономист-эксперт</t>
        </is>
      </c>
      <c r="I4" s="4" t="inlineStr">
        <is>
          <t>Проект учебного решения</t>
        </is>
      </c>
    </row>
    <row r="5" ht="36" customHeight="1">
      <c r="A5" s="4" t="inlineStr">
        <is>
          <t>Аудит</t>
        </is>
      </c>
      <c r="B5" s="4" t="inlineStr">
        <is>
          <t>CFE / Форензика</t>
        </is>
      </c>
      <c r="C5" s="5" t="n">
        <v>120000</v>
      </c>
      <c r="D5" s="5" t="n">
        <v>4120000</v>
      </c>
      <c r="E5" s="7">
        <f>D5-C5</f>
        <v>4000000.0</v>
      </c>
      <c r="F5" s="7">
        <f>E5/C5*100</f>
        <v>3333.3333333333335</v>
      </c>
      <c r="G5" s="9" t="n">
        <v>0.75</v>
      </c>
      <c r="H5" s="4" t="inlineStr">
        <is>
          <t>Руководитель СЭБ</t>
        </is>
      </c>
      <c r="I5" s="4" t="inlineStr">
        <is>
          <t>Проект учебного решения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185000.0</v>
      </c>
      <c r="D6" s="7">
        <f>SUM(D2:D5)</f>
        <v>8330000.0</v>
      </c>
      <c r="E6" s="7">
        <f>SUM(E2:E5)</f>
        <v>8145000.0</v>
      </c>
      <c r="F6" s="7">
        <f>E6/C6*100</f>
        <v>4402.7027027027025</v>
      </c>
      <c r="G6" s="7">
        <f>AVERAGE(G2:G5)</f>
        <v>0.8625</v>
      </c>
      <c r="H6" s="4" t="inlineStr">
        <is>
          <t>—</t>
        </is>
      </c>
      <c r="I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Эффект контроля задаётся как условная ожидаемая экономия, а не вся потенциальная сумма нарушения. Простое отношение эффекта к расходам не заменяет NPV. Для причинной оценки нужны данные до/после и сопоставимая контрольная группа.</t>
        </is>
      </c>
    </row>
    <row r="11"/>
    <row r="12"/>
  </sheetData>
  <autoFilter ref="A1:I6"/>
  <mergeCells count="1">
    <mergeCell ref="A10:I12"/>
  </mergeCells>
  <pageMargins left="0.75" right="0.75" top="1" bottom="1" header="0.5" footer="0.5"/>
  <pageSetup orientation="landscape" paperSize="9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Тип несоответствия</t>
        </is>
      </c>
      <c r="B1" s="3" t="inlineStr">
        <is>
          <t>Признак / Риск</t>
        </is>
      </c>
      <c r="C1" s="3" t="inlineStr">
        <is>
          <t>Главный метод контроля экономиста</t>
        </is>
      </c>
    </row>
    <row r="2" ht="36" customHeight="1">
      <c r="A2" s="4" t="inlineStr">
        <is>
          <t>1. Цена ≠ рынку</t>
        </is>
      </c>
      <c r="B2" s="4" t="inlineStr">
        <is>
          <t>Ценовое отклонение или некондиция</t>
        </is>
      </c>
      <c r="C2" s="4" t="inlineStr">
        <is>
          <t>Сверка с рыночной ценой (3+ КП) + калькуляция себестоимости + затребование возврата б/у запчастей.</t>
        </is>
      </c>
    </row>
    <row r="3" ht="36" customHeight="1">
      <c r="A3" s="4" t="inlineStr">
        <is>
          <t>2. Исполнитель ≠4</t>
        </is>
      </c>
      <c r="B3" s="4" t="inlineStr">
        <is>
          <t>Фирма-прокладка / Однодневка</t>
        </is>
      </c>
      <c r="C3" s="4" t="inlineStr">
        <is>
          <t>Проверка реального профиля (ОКВЭД), выезд на объект, затребование ФИО и дипломов специалистов.</t>
        </is>
      </c>
    </row>
    <row r="4" ht="36" customHeight="1">
      <c r="A4" s="4" t="inlineStr">
        <is>
          <t>3. Заказчик ≠5</t>
        </is>
      </c>
      <c r="B4" s="4" t="inlineStr">
        <is>
          <t>Необоснованность трат</t>
        </is>
      </c>
      <c r="C4" s="4" t="inlineStr">
        <is>
          <t>Затребование Служебной записки с расчётом экономического эффекта (NPV/ROI).</t>
        </is>
      </c>
    </row>
    <row r="5" ht="36" customHeight="1">
      <c r="A5" s="4" t="inlineStr">
        <is>
          <t>4. Предмет ≠5</t>
        </is>
      </c>
      <c r="B5" s="4" t="inlineStr">
        <is>
          <t>Дублирование функций</t>
        </is>
      </c>
      <c r="C5" s="4" t="inlineStr">
        <is>
          <t>Проверка должностных инструкций + подтверждение невозможности решения внутренними силами.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C5"/>
  <mergeCells count="1">
    <mergeCell ref="A9:C11"/>
  </mergeCells>
  <pageMargins left="0.75" right="0.75" top="1" bottom="1" header="0.5" footer="0.5"/>
  <pageSetup orientation="landscape" paperSize="9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(Предмет)</t>
        </is>
      </c>
      <c r="B1" s="3" t="inlineStr">
        <is>
          <t>B (Поставщик)</t>
        </is>
      </c>
      <c r="C1" s="3" t="inlineStr">
        <is>
          <t>C (Сумма, сом)</t>
        </is>
      </c>
      <c r="D1" s="3" t="inlineStr">
        <is>
          <t>D (Рынок, сом)</t>
        </is>
      </c>
      <c r="E1" s="3" t="inlineStr">
        <is>
          <t>E (Тип 1: Цена)</t>
        </is>
      </c>
      <c r="F1" s="3" t="inlineStr">
        <is>
          <t>F (Тип 2: Профиль)</t>
        </is>
      </c>
      <c r="G1" s="3" t="inlineStr">
        <is>
          <t>G (Тип 3: Заказчик)</t>
        </is>
      </c>
      <c r="H1" s="3" t="inlineStr">
        <is>
          <t>H (Тип 4: Своими)</t>
        </is>
      </c>
      <c r="I1" s="3" t="inlineStr">
        <is>
          <t>I (Всего рисков)</t>
        </is>
      </c>
      <c r="J1" s="3" t="inlineStr">
        <is>
          <t>J (Решение)</t>
        </is>
      </c>
      <c r="K1" s="3" t="inlineStr">
        <is>
          <t>K (Экономия, сом)</t>
        </is>
      </c>
    </row>
    <row r="2" ht="36" customHeight="1">
      <c r="A2" s="4" t="inlineStr">
        <is>
          <t>Удобрения</t>
        </is>
      </c>
      <c r="B2" s="4" t="inlineStr">
        <is>
          <t>учебная организация «Контрагент A5D9»</t>
        </is>
      </c>
      <c r="C2" s="5" t="n">
        <v>4180000</v>
      </c>
      <c r="D2" s="5" t="n">
        <v>3420000</v>
      </c>
      <c r="E2" s="4" t="inlineStr">
        <is>
          <t>ВЫШЕ</t>
        </is>
      </c>
      <c r="F2" s="4" t="inlineStr">
        <is>
          <t>ПРОКЛАДКА</t>
        </is>
      </c>
      <c r="G2" s="4" t="inlineStr">
        <is>
          <t>НОРМА</t>
        </is>
      </c>
      <c r="H2" s="4" t="inlineStr">
        <is>
          <t>НОРМА</t>
        </is>
      </c>
      <c r="I2" s="5" t="n">
        <v>2</v>
      </c>
      <c r="J2" s="4" t="inlineStr">
        <is>
          <t>ОТКЛОНИТЬ</t>
        </is>
      </c>
      <c r="K2" s="7">
        <f>C2-D2</f>
        <v>760000.0</v>
      </c>
    </row>
    <row r="3" ht="36" customHeight="1">
      <c r="A3" s="4" t="inlineStr">
        <is>
          <t>ДТ Дизель</t>
        </is>
      </c>
      <c r="B3" s="4" t="inlineStr">
        <is>
          <t>ГП Контрагент</t>
        </is>
      </c>
      <c r="C3" s="5" t="n">
        <v>1100000</v>
      </c>
      <c r="D3" s="5" t="n">
        <v>1100000</v>
      </c>
      <c r="E3" s="4" t="inlineStr">
        <is>
          <t>НОРМА</t>
        </is>
      </c>
      <c r="F3" s="4" t="inlineStr">
        <is>
          <t>НОРМА</t>
        </is>
      </c>
      <c r="G3" s="4" t="inlineStr">
        <is>
          <t>НОРМА</t>
        </is>
      </c>
      <c r="H3" s="4" t="inlineStr">
        <is>
          <t>НОРМА</t>
        </is>
      </c>
      <c r="I3" s="5" t="n">
        <v>0</v>
      </c>
      <c r="J3" s="4" t="inlineStr">
        <is>
          <t>ПРОВЕРЕНО В ПРИМЕРЕ</t>
        </is>
      </c>
      <c r="K3" s="5" t="n">
        <v>0</v>
      </c>
    </row>
    <row r="4" ht="36" customHeight="1">
      <c r="A4" s="4" t="inlineStr">
        <is>
          <t>Ремонт МТЗ</t>
        </is>
      </c>
      <c r="B4" s="4" t="inlineStr">
        <is>
          <t>учебная организация «Контрагент 0C9D»</t>
        </is>
      </c>
      <c r="C4" s="5" t="n">
        <v>90000</v>
      </c>
      <c r="D4" s="5" t="n">
        <v>200000</v>
      </c>
      <c r="E4" s="4" t="inlineStr">
        <is>
          <t>НИЗКАЯ</t>
        </is>
      </c>
      <c r="F4" s="4" t="inlineStr">
        <is>
          <t>НЕТ ОПЫТА</t>
        </is>
      </c>
      <c r="G4" s="4" t="inlineStr">
        <is>
          <t>НОРМА</t>
        </is>
      </c>
      <c r="H4" s="4" t="inlineStr">
        <is>
          <t>НОРМА</t>
        </is>
      </c>
      <c r="I4" s="5" t="n">
        <v>2</v>
      </c>
      <c r="J4" s="4" t="inlineStr">
        <is>
          <t>ОТКЛОНИТЬ</t>
        </is>
      </c>
      <c r="K4" s="5" t="n">
        <v>0</v>
      </c>
    </row>
    <row r="5" ht="36" customHeight="1">
      <c r="A5" s="4" t="inlineStr">
        <is>
          <t>Семена Ф65</t>
        </is>
      </c>
      <c r="B5" s="4" t="inlineStr">
        <is>
          <t>учебная организация «Контрагент C715»</t>
        </is>
      </c>
      <c r="C5" s="5" t="n">
        <v>1850000</v>
      </c>
      <c r="D5" s="5" t="n">
        <v>1850000</v>
      </c>
      <c r="E5" s="4" t="inlineStr">
        <is>
          <t>НОРМА</t>
        </is>
      </c>
      <c r="F5" s="4" t="inlineStr">
        <is>
          <t>НОРМА</t>
        </is>
      </c>
      <c r="G5" s="4" t="inlineStr">
        <is>
          <t>НОРМА</t>
        </is>
      </c>
      <c r="H5" s="4" t="inlineStr">
        <is>
          <t>НОРМА</t>
        </is>
      </c>
      <c r="I5" s="5" t="n">
        <v>0</v>
      </c>
      <c r="J5" s="4" t="inlineStr">
        <is>
          <t>ПРОВЕРЕНО В ПРИМЕРЕ</t>
        </is>
      </c>
      <c r="K5" s="5" t="n">
        <v>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7220000.0</v>
      </c>
      <c r="D6" s="7">
        <f>SUM(D2:D5)</f>
        <v>6570000.0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7">
        <f>SUM(K2:K5)</f>
        <v>760000.0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(Предмет)</t>
        </is>
      </c>
      <c r="B1" s="3" t="inlineStr">
        <is>
          <t>B (Поставщик)</t>
        </is>
      </c>
      <c r="C1" s="3" t="inlineStr">
        <is>
          <t>C (Сумма)</t>
        </is>
      </c>
      <c r="D1" s="3" t="inlineStr">
        <is>
          <t>D (Рынок)</t>
        </is>
      </c>
      <c r="E1" s="3" t="inlineStr">
        <is>
          <t>E (Тип 1)</t>
        </is>
      </c>
      <c r="F1" s="3" t="inlineStr">
        <is>
          <t>F (Тип 2)</t>
        </is>
      </c>
      <c r="G1" s="3" t="inlineStr">
        <is>
          <t>G (Тип 3)</t>
        </is>
      </c>
      <c r="H1" s="3" t="inlineStr">
        <is>
          <t>H (Тип 4)</t>
        </is>
      </c>
      <c r="I1" s="3" t="inlineStr">
        <is>
          <t>I (Риски)</t>
        </is>
      </c>
      <c r="J1" s="3" t="inlineStr">
        <is>
          <t>J (Решение)</t>
        </is>
      </c>
      <c r="K1" s="3" t="inlineStr">
        <is>
          <t>K (Экономия)</t>
        </is>
      </c>
    </row>
    <row r="2" ht="36" customHeight="1">
      <c r="A2" s="4" t="inlineStr">
        <is>
          <t>Удобрения</t>
        </is>
      </c>
      <c r="B2" s="4" t="inlineStr">
        <is>
          <t>учебная организация «Контрагент A5D9»</t>
        </is>
      </c>
      <c r="C2" s="5" t="n">
        <v>4180000</v>
      </c>
      <c r="D2" s="5" t="n">
        <v>3420000</v>
      </c>
      <c r="E2" s="4" t="inlineStr">
        <is>
          <t>ВЫШЕ</t>
        </is>
      </c>
      <c r="F2" s="4" t="inlineStr">
        <is>
          <t>ПРОКЛАДКА</t>
        </is>
      </c>
      <c r="G2" s="4" t="inlineStr">
        <is>
          <t>НОРМА</t>
        </is>
      </c>
      <c r="H2" s="4" t="inlineStr">
        <is>
          <t>НОРМА</t>
        </is>
      </c>
      <c r="I2" s="7">
        <f>COUNTIF(E2:H2,"&lt;&gt;НОРМА")</f>
        <v>0</v>
      </c>
      <c r="J2" s="7" t="str">
        <f>IF(I2&gt;0,"ОТКЛОНИТЬ","ПРОВЕРЕНО В ПРИМЕРЕ")</f>
        <v>ПРОВЕРЕНО В ПРИМЕРЕ</v>
      </c>
      <c r="K2" s="7">
        <f>C2-D2</f>
        <v>760000.0</v>
      </c>
    </row>
    <row r="3" ht="36" customHeight="1">
      <c r="A3" s="4" t="inlineStr">
        <is>
          <t>ДТ Дизель</t>
        </is>
      </c>
      <c r="B3" s="4" t="inlineStr">
        <is>
          <t>ГП Контрагент</t>
        </is>
      </c>
      <c r="C3" s="5" t="n">
        <v>1100000</v>
      </c>
      <c r="D3" s="5" t="n">
        <v>1100000</v>
      </c>
      <c r="E3" s="4" t="inlineStr">
        <is>
          <t>НОРМА</t>
        </is>
      </c>
      <c r="F3" s="4" t="inlineStr">
        <is>
          <t>НОРМА</t>
        </is>
      </c>
      <c r="G3" s="4" t="inlineStr">
        <is>
          <t>НОРМА</t>
        </is>
      </c>
      <c r="H3" s="4" t="inlineStr">
        <is>
          <t>НОРМА</t>
        </is>
      </c>
      <c r="I3" s="7">
        <f>COUNTIF(E3:H3,"&lt;&gt;НОРМА")</f>
        <v>0</v>
      </c>
      <c r="J3" s="7" t="str">
        <f>IF(I3&gt;0,"ОТКЛОНИТЬ","ПРОВЕРЕНО В ПРИМЕРЕ")</f>
        <v>ПРОВЕРЕНО В ПРИМЕРЕ</v>
      </c>
      <c r="K3" s="7">
        <f>C3-D3</f>
        <v>0.0</v>
      </c>
    </row>
    <row r="4" ht="36" customHeight="1">
      <c r="A4" s="4" t="inlineStr">
        <is>
          <t>Ремонт МТЗ</t>
        </is>
      </c>
      <c r="B4" s="4" t="inlineStr">
        <is>
          <t>учебная организация «Контрагент 0C9D»</t>
        </is>
      </c>
      <c r="C4" s="5" t="n">
        <v>90000</v>
      </c>
      <c r="D4" s="5" t="n">
        <v>200000</v>
      </c>
      <c r="E4" s="4" t="inlineStr">
        <is>
          <t>НИЗКАЯ</t>
        </is>
      </c>
      <c r="F4" s="4" t="inlineStr">
        <is>
          <t>НЕТ ОПЫТА</t>
        </is>
      </c>
      <c r="G4" s="4" t="inlineStr">
        <is>
          <t>НОРМА</t>
        </is>
      </c>
      <c r="H4" s="4" t="inlineStr">
        <is>
          <t>НОРМА</t>
        </is>
      </c>
      <c r="I4" s="7">
        <f>COUNTIF(E4:H4,"&lt;&gt;НОРМА")</f>
        <v>0</v>
      </c>
      <c r="J4" s="7" t="str">
        <f>IF(I4&gt;0,"ОТКЛОНИТЬ","ПРОВЕРЕНО В ПРИМЕРЕ")</f>
        <v>ПРОВЕРЕНО В ПРИМЕРЕ</v>
      </c>
      <c r="K4" s="5" t="n">
        <v>0</v>
      </c>
    </row>
    <row r="5" ht="36" customHeight="1">
      <c r="A5" s="4" t="inlineStr">
        <is>
          <t>Семена Ф65</t>
        </is>
      </c>
      <c r="B5" s="4" t="inlineStr">
        <is>
          <t>учебная организация «Контрагент C715»</t>
        </is>
      </c>
      <c r="C5" s="5" t="n">
        <v>1850000</v>
      </c>
      <c r="D5" s="5" t="n">
        <v>1850000</v>
      </c>
      <c r="E5" s="4" t="inlineStr">
        <is>
          <t>НОРМА</t>
        </is>
      </c>
      <c r="F5" s="4" t="inlineStr">
        <is>
          <t>НОРМА</t>
        </is>
      </c>
      <c r="G5" s="4" t="inlineStr">
        <is>
          <t>НОРМА</t>
        </is>
      </c>
      <c r="H5" s="4" t="inlineStr">
        <is>
          <t>НОРМА</t>
        </is>
      </c>
      <c r="I5" s="7">
        <f>COUNTIF(E5:H5,"&lt;&gt;НОРМА")</f>
        <v>0</v>
      </c>
      <c r="J5" s="7" t="str">
        <f>IF(I5&gt;0,"ОТКЛОНИТЬ","ПРОВЕРЕНО В ПРИМЕРЕ")</f>
        <v>ПРОВЕРЕНО В ПРИМЕРЕ</v>
      </c>
      <c r="K5" s="7">
        <f>C5-D5</f>
        <v>0.0</v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7220000.0</v>
      </c>
      <c r="D6" s="7">
        <f>SUM(D2:D5)</f>
        <v>6570000.0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7">
        <f>SUM(K2:K5)</f>
        <v>760000.0</v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(Контрагент)</t>
        </is>
      </c>
      <c r="B1" s="3" t="inlineStr">
        <is>
          <t>B (Договор)</t>
        </is>
      </c>
      <c r="C1" s="3" t="inlineStr">
        <is>
          <t>C (Сумма долга, сом)</t>
        </is>
      </c>
      <c r="D1" s="3" t="inlineStr">
        <is>
          <t>D (Срок по договору, дней)</t>
        </is>
      </c>
      <c r="E1" s="3" t="inlineStr">
        <is>
          <t>E (Факт просрочки, дней)</t>
        </is>
      </c>
      <c r="F1" s="3" t="inlineStr">
        <is>
          <t>F (Стадия регламента)</t>
        </is>
      </c>
      <c r="G1" s="3" t="inlineStr">
        <is>
          <t>G (Акт сверки)</t>
        </is>
      </c>
      <c r="H1" s="3" t="inlineStr">
        <is>
          <t>H (Резерв сомнительный, %)</t>
        </is>
      </c>
      <c r="I1" s="3" t="inlineStr">
        <is>
          <t>I (Сумма резерва, сом)</t>
        </is>
      </c>
      <c r="J1" s="3" t="inlineStr">
        <is>
          <t>J (Мера контроля)</t>
        </is>
      </c>
      <c r="K1" s="3" t="inlineStr">
        <is>
          <t>K (Статус)</t>
        </is>
      </c>
    </row>
    <row r="2" ht="36" customHeight="1">
      <c r="A2" s="4" t="inlineStr">
        <is>
          <t>Контрагент / Контрагент</t>
        </is>
      </c>
      <c r="B2" s="4" t="inlineStr">
        <is>
          <t>№12/25-B2G</t>
        </is>
      </c>
      <c r="C2" s="5" t="n">
        <v>4200000</v>
      </c>
      <c r="D2" s="5" t="n">
        <v>60</v>
      </c>
      <c r="E2" s="5" t="n">
        <v>5</v>
      </c>
      <c r="F2" s="7" t="str">
        <f>IF(E2&lt;=0,"НЕТ ПРОСРОЧКИ",IF(E2&lt;=7,"1–7 ДНЕЙ",IF(E2&lt;=30,"8–30 ДНЕЙ","БОЛЕЕ 30 ДНЕЙ")))</f>
        <v>1–7 ДНЕЙ</v>
      </c>
      <c r="G2" s="4" t="inlineStr">
        <is>
          <t>ДА</t>
        </is>
      </c>
      <c r="H2" s="9" t="n">
        <v>0</v>
      </c>
      <c r="I2" s="7">
        <f>C2*H2</f>
        <v>0.0</v>
      </c>
      <c r="J2" s="4" t="inlineStr">
        <is>
          <t>Сверка долга и условий; соразмерная правовая мера</t>
        </is>
      </c>
      <c r="K2" s="4" t="inlineStr">
        <is>
          <t>Учебный этап работы</t>
        </is>
      </c>
    </row>
    <row r="3" ht="36" customHeight="1">
      <c r="A3" s="4" t="inlineStr">
        <is>
          <t>учебная организация «Контрагент E6CB»</t>
        </is>
      </c>
      <c r="B3" s="4" t="inlineStr">
        <is>
          <t>№04/26-Пш</t>
        </is>
      </c>
      <c r="C3" s="5" t="n">
        <v>300000</v>
      </c>
      <c r="D3" s="5" t="n">
        <v>10</v>
      </c>
      <c r="E3" s="5" t="n">
        <v>22</v>
      </c>
      <c r="F3" s="7" t="str">
        <f>IF(E3&lt;=0,"НЕТ ПРОСРОЧКИ",IF(E3&lt;=7,"1–7 ДНЕЙ",IF(E3&lt;=30,"8–30 ДНЕЙ","БОЛЕЕ 30 ДНЕЙ")))</f>
        <v>8–30 ДНЕЙ</v>
      </c>
      <c r="G3" s="4" t="inlineStr">
        <is>
          <t>ДА</t>
        </is>
      </c>
      <c r="H3" s="9" t="n">
        <v>0.1</v>
      </c>
      <c r="I3" s="7">
        <f>C3*H3</f>
        <v>30000.0</v>
      </c>
      <c r="J3" s="4" t="inlineStr">
        <is>
          <t>Сверка долга и условий; соразмерная правовая мера</t>
        </is>
      </c>
      <c r="K3" s="4" t="inlineStr">
        <is>
          <t>Учебный этап работы</t>
        </is>
      </c>
    </row>
    <row r="4" ht="36" customHeight="1">
      <c r="A4" s="4" t="inlineStr">
        <is>
          <t>учебная организация «Контрагент CDDA»</t>
        </is>
      </c>
      <c r="B4" s="4" t="inlineStr">
        <is>
          <t>№08/25-Сотр</t>
        </is>
      </c>
      <c r="C4" s="5" t="n">
        <v>200000</v>
      </c>
      <c r="D4" s="5" t="n">
        <v>30</v>
      </c>
      <c r="E4" s="5" t="n">
        <v>120</v>
      </c>
      <c r="F4" s="7" t="str">
        <f>IF(E4&lt;=0,"НЕТ ПРОСРОЧКИ",IF(E4&lt;=7,"1–7 ДНЕЙ",IF(E4&lt;=30,"8–30 ДНЕЙ","БОЛЕЕ 30 ДНЕЙ")))</f>
        <v>БОЛЕЕ 30 ДНЕЙ</v>
      </c>
      <c r="G4" s="4" t="inlineStr">
        <is>
          <t>НЕТ</t>
        </is>
      </c>
      <c r="H4" s="9" t="n">
        <v>0.5</v>
      </c>
      <c r="I4" s="7">
        <f>C4*H4</f>
        <v>100000.0</v>
      </c>
      <c r="J4" s="4" t="inlineStr">
        <is>
          <t>Сверка долга и условий; соразмерная правовая мера</t>
        </is>
      </c>
      <c r="K4" s="4" t="inlineStr">
        <is>
          <t>Учебный этап работы</t>
        </is>
      </c>
    </row>
    <row r="5" ht="36" customHeight="1">
      <c r="A5" s="4" t="inlineStr">
        <is>
          <t>учебная организация «Контрагент C715»</t>
        </is>
      </c>
      <c r="B5" s="4" t="inlineStr">
        <is>
          <t>№02/26-Сем</t>
        </is>
      </c>
      <c r="C5" s="5" t="n">
        <v>150000</v>
      </c>
      <c r="D5" s="5" t="n">
        <v>15</v>
      </c>
      <c r="E5" s="5" t="n">
        <v>0</v>
      </c>
      <c r="F5" s="7" t="str">
        <f>IF(E5&lt;=0,"НЕТ ПРОСРОЧКИ",IF(E5&lt;=7,"1–7 ДНЕЙ",IF(E5&lt;=30,"8–30 ДНЕЙ","БОЛЕЕ 30 ДНЕЙ")))</f>
        <v>НЕТ ПРОСРОЧКИ</v>
      </c>
      <c r="G5" s="4" t="inlineStr">
        <is>
          <t>ДА</t>
        </is>
      </c>
      <c r="H5" s="9" t="n">
        <v>0</v>
      </c>
      <c r="I5" s="7">
        <f>C5*H5</f>
        <v>0.0</v>
      </c>
      <c r="J5" s="4" t="inlineStr">
        <is>
          <t>Сверка долга и условий; соразмерная правовая мера</t>
        </is>
      </c>
      <c r="K5" s="4" t="inlineStr">
        <is>
          <t>Учебный этап работы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4850000.0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7">
        <f>SUM(I2:I5)</f>
        <v>130000.0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Резервы в примере — управленческий сценарий, не готовая оценка по IFRS 9. Ожидаемые кредитные потери требуют вероятностей дефолта, размера потери и экспозиции. Перед претензией проверяют срок договора и спорную часть долга.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(Контрагент)</t>
        </is>
      </c>
      <c r="B1" s="3" t="inlineStr">
        <is>
          <t>B (Договор)</t>
        </is>
      </c>
      <c r="C1" s="3" t="inlineStr">
        <is>
          <t>C (Сумма)</t>
        </is>
      </c>
      <c r="D1" s="3" t="inlineStr">
        <is>
          <t>D (Срок)</t>
        </is>
      </c>
      <c r="E1" s="3" t="inlineStr">
        <is>
          <t>E (Просрочка)</t>
        </is>
      </c>
      <c r="F1" s="3" t="inlineStr">
        <is>
          <t>F (Стадия)</t>
        </is>
      </c>
      <c r="G1" s="3" t="inlineStr">
        <is>
          <t>G (Акт)</t>
        </is>
      </c>
      <c r="H1" s="3" t="inlineStr">
        <is>
          <t>H (Резерв %)</t>
        </is>
      </c>
      <c r="I1" s="3" t="inlineStr">
        <is>
          <t>I (Сумма резерва)</t>
        </is>
      </c>
      <c r="J1" s="3" t="inlineStr">
        <is>
          <t>J (Мера)</t>
        </is>
      </c>
      <c r="K1" s="3" t="inlineStr">
        <is>
          <t>K (Статус)</t>
        </is>
      </c>
    </row>
    <row r="2" ht="36" customHeight="1">
      <c r="A2" s="4" t="inlineStr">
        <is>
          <t>Контрагент / Контрагент</t>
        </is>
      </c>
      <c r="B2" s="4" t="inlineStr">
        <is>
          <t>№12/25-B2G</t>
        </is>
      </c>
      <c r="C2" s="5" t="n">
        <v>4200000</v>
      </c>
      <c r="D2" s="5" t="n">
        <v>60</v>
      </c>
      <c r="E2" s="5" t="n">
        <v>5</v>
      </c>
      <c r="F2" s="7" t="str">
        <f>IF(E2&lt;=0,"НЕТ ПРОСРОЧКИ",IF(E2&lt;=7,"1–7 ДНЕЙ",IF(E2&lt;=30,"8–30 ДНЕЙ","БОЛЕЕ 30 ДНЕЙ")))</f>
        <v>1–7 ДНЕЙ</v>
      </c>
      <c r="G2" s="4" t="inlineStr">
        <is>
          <t>ДА</t>
        </is>
      </c>
      <c r="H2" s="9" t="n">
        <v>0</v>
      </c>
      <c r="I2" s="7">
        <f>C2*H2</f>
        <v>0.0</v>
      </c>
      <c r="J2" s="4" t="inlineStr">
        <is>
          <t>Сверка долга и условий; соразмерная правовая мера</t>
        </is>
      </c>
      <c r="K2" s="4" t="inlineStr">
        <is>
          <t>Учебный этап работы</t>
        </is>
      </c>
    </row>
    <row r="3" ht="36" customHeight="1">
      <c r="A3" s="4" t="inlineStr">
        <is>
          <t>учебная организация «Контрагент E6CB»</t>
        </is>
      </c>
      <c r="B3" s="4" t="inlineStr">
        <is>
          <t>№04/26-Пш</t>
        </is>
      </c>
      <c r="C3" s="5" t="n">
        <v>300000</v>
      </c>
      <c r="D3" s="5" t="n">
        <v>10</v>
      </c>
      <c r="E3" s="5" t="n">
        <v>22</v>
      </c>
      <c r="F3" s="7" t="str">
        <f>IF(E3&lt;=0,"НЕТ ПРОСРОЧКИ",IF(E3&lt;=7,"1–7 ДНЕЙ",IF(E3&lt;=30,"8–30 ДНЕЙ","БОЛЕЕ 30 ДНЕЙ")))</f>
        <v>8–30 ДНЕЙ</v>
      </c>
      <c r="G3" s="4" t="inlineStr">
        <is>
          <t>ДА</t>
        </is>
      </c>
      <c r="H3" s="9" t="n">
        <v>0.1</v>
      </c>
      <c r="I3" s="7">
        <f>C3*H3</f>
        <v>30000.0</v>
      </c>
      <c r="J3" s="4" t="inlineStr">
        <is>
          <t>Сверка долга и условий; соразмерная правовая мера</t>
        </is>
      </c>
      <c r="K3" s="4" t="inlineStr">
        <is>
          <t>Учебный этап работы</t>
        </is>
      </c>
    </row>
    <row r="4" ht="36" customHeight="1">
      <c r="A4" s="4" t="inlineStr">
        <is>
          <t>учебная организация «Контрагент CDDA»</t>
        </is>
      </c>
      <c r="B4" s="4" t="inlineStr">
        <is>
          <t>№08/25-Сотр</t>
        </is>
      </c>
      <c r="C4" s="5" t="n">
        <v>200000</v>
      </c>
      <c r="D4" s="5" t="n">
        <v>30</v>
      </c>
      <c r="E4" s="5" t="n">
        <v>120</v>
      </c>
      <c r="F4" s="7" t="str">
        <f>IF(E4&lt;=0,"НЕТ ПРОСРОЧКИ",IF(E4&lt;=7,"1–7 ДНЕЙ",IF(E4&lt;=30,"8–30 ДНЕЙ","БОЛЕЕ 30 ДНЕЙ")))</f>
        <v>БОЛЕЕ 30 ДНЕЙ</v>
      </c>
      <c r="G4" s="4" t="inlineStr">
        <is>
          <t>НЕТ</t>
        </is>
      </c>
      <c r="H4" s="9" t="n">
        <v>0.5</v>
      </c>
      <c r="I4" s="7">
        <f>C4*H4</f>
        <v>100000.0</v>
      </c>
      <c r="J4" s="4" t="inlineStr">
        <is>
          <t>Сверка долга и условий; соразмерная правовая мера</t>
        </is>
      </c>
      <c r="K4" s="4" t="inlineStr">
        <is>
          <t>Учебный этап работы</t>
        </is>
      </c>
    </row>
    <row r="5" ht="36" customHeight="1">
      <c r="A5" s="4" t="inlineStr">
        <is>
          <t>учебная организация «Контрагент C715»</t>
        </is>
      </c>
      <c r="B5" s="4" t="inlineStr">
        <is>
          <t>№02/26-Сем</t>
        </is>
      </c>
      <c r="C5" s="5" t="n">
        <v>150000</v>
      </c>
      <c r="D5" s="5" t="n">
        <v>15</v>
      </c>
      <c r="E5" s="5" t="n">
        <v>0</v>
      </c>
      <c r="F5" s="7" t="str">
        <f>IF(E5&lt;=0,"НЕТ ПРОСРОЧКИ",IF(E5&lt;=7,"1–7 ДНЕЙ",IF(E5&lt;=30,"8–30 ДНЕЙ","БОЛЕЕ 30 ДНЕЙ")))</f>
        <v>НЕТ ПРОСРОЧКИ</v>
      </c>
      <c r="G5" s="4" t="inlineStr">
        <is>
          <t>ДА</t>
        </is>
      </c>
      <c r="H5" s="9" t="n">
        <v>0</v>
      </c>
      <c r="I5" s="7">
        <f>C5*H5</f>
        <v>0.0</v>
      </c>
      <c r="J5" s="4" t="inlineStr">
        <is>
          <t>Сверка долга и условий; соразмерная правовая мера</t>
        </is>
      </c>
      <c r="K5" s="4" t="inlineStr">
        <is>
          <t>Учебный этап работы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4850000.0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7">
        <f>SUM(I2:I5)</f>
        <v>130000.0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Резервы в примере — управленческий сценарий, не готовая оценка по IFRS 9. Ожидаемые кредитные потери требуют вероятностей дефолта, размера потери и экспозиции. Перед претензией проверяют срок договора и спорную часть долга.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(Контрагент)</t>
        </is>
      </c>
      <c r="B1" s="3" t="inlineStr">
        <is>
          <t>B (Тип договора)</t>
        </is>
      </c>
      <c r="C1" s="3" t="inlineStr">
        <is>
          <t>C (Сумма, сом)</t>
        </is>
      </c>
      <c r="D1" s="3" t="inlineStr">
        <is>
          <t>D (Точка 1: Смысл)</t>
        </is>
      </c>
      <c r="E1" s="3" t="inlineStr">
        <is>
          <t>E (Точка 2: Даты)</t>
        </is>
      </c>
      <c r="F1" s="3" t="inlineStr">
        <is>
          <t>F (Точка 4: Цена)</t>
        </is>
      </c>
      <c r="G1" s="3" t="inlineStr">
        <is>
          <t>G (Точка 5: Предмет)</t>
        </is>
      </c>
      <c r="H1" s="3" t="inlineStr">
        <is>
          <t>H (Всего рисков)</t>
        </is>
      </c>
      <c r="I1" s="3" t="inlineStr">
        <is>
          <t>I (Схема)</t>
        </is>
      </c>
      <c r="J1" s="3" t="inlineStr">
        <is>
          <t>J (Юр. статус)</t>
        </is>
      </c>
      <c r="K1" s="3" t="inlineStr">
        <is>
          <t>K (Решение)</t>
        </is>
      </c>
    </row>
    <row r="2" ht="36" customHeight="1">
      <c r="A2" s="4" t="inlineStr">
        <is>
          <t>учебная организация «Контрагент CDDA»</t>
        </is>
      </c>
      <c r="B2" s="4" t="inlineStr">
        <is>
          <t>Сотрудничество</t>
        </is>
      </c>
      <c r="C2" s="5" t="n">
        <v>300000</v>
      </c>
      <c r="D2" s="4" t="inlineStr">
        <is>
          <t>ПРИТВОРН</t>
        </is>
      </c>
      <c r="E2" s="4" t="inlineStr">
        <is>
          <t>НОРМА</t>
        </is>
      </c>
      <c r="F2" s="4" t="inlineStr">
        <is>
          <t>НОРМА</t>
        </is>
      </c>
      <c r="G2" s="4" t="inlineStr">
        <is>
          <t>РАЗМЫТ</t>
        </is>
      </c>
      <c r="H2" s="5" t="n">
        <v>2</v>
      </c>
      <c r="I2" s="4" t="inlineStr">
        <is>
          <t>Проверяемая гипотеза</t>
        </is>
      </c>
      <c r="J2" s="4" t="inlineStr">
        <is>
          <t>Юридическая оценка</t>
        </is>
      </c>
      <c r="K2" s="4" t="inlineStr">
        <is>
          <t>Сверка основания и условий</t>
        </is>
      </c>
    </row>
    <row r="3" ht="36" customHeight="1">
      <c r="A3" s="4" t="inlineStr">
        <is>
          <t>учебная организация «Контрагент A5D9»</t>
        </is>
      </c>
      <c r="B3" s="4" t="inlineStr">
        <is>
          <t>Поставка удобрений</t>
        </is>
      </c>
      <c r="C3" s="5" t="n">
        <v>4180000</v>
      </c>
      <c r="D3" s="4" t="inlineStr">
        <is>
          <t>НОРМА</t>
        </is>
      </c>
      <c r="E3" s="4" t="inlineStr">
        <is>
          <t>НОРМА</t>
        </is>
      </c>
      <c r="F3" s="4" t="inlineStr">
        <is>
          <t>ЗАВЫШЕНА</t>
        </is>
      </c>
      <c r="G3" s="4" t="inlineStr">
        <is>
          <t>НОРМА</t>
        </is>
      </c>
      <c r="H3" s="5" t="n">
        <v>1</v>
      </c>
      <c r="I3" s="4" t="inlineStr">
        <is>
          <t>Проверяемая гипотеза</t>
        </is>
      </c>
      <c r="J3" s="4" t="inlineStr">
        <is>
          <t>Юридическая оценка</t>
        </is>
      </c>
      <c r="K3" s="4" t="inlineStr">
        <is>
          <t>Сверка основания и условий</t>
        </is>
      </c>
    </row>
    <row r="4" ht="36" customHeight="1">
      <c r="A4" s="4" t="inlineStr">
        <is>
          <t>Сотрудник 19</t>
        </is>
      </c>
      <c r="B4" s="4" t="inlineStr">
        <is>
          <t>Договор ГПХ</t>
        </is>
      </c>
      <c r="C4" s="5" t="n">
        <v>1056</v>
      </c>
      <c r="D4" s="4" t="inlineStr">
        <is>
          <t>НОРМА</t>
        </is>
      </c>
      <c r="E4" s="4" t="inlineStr">
        <is>
          <t>ИНН ОШИБКА</t>
        </is>
      </c>
      <c r="F4" s="4" t="inlineStr">
        <is>
          <t>НОРМА</t>
        </is>
      </c>
      <c r="G4" s="4" t="inlineStr">
        <is>
          <t>НОРМА</t>
        </is>
      </c>
      <c r="H4" s="5" t="n">
        <v>1</v>
      </c>
      <c r="I4" s="4" t="inlineStr">
        <is>
          <t>Проверяемая гипотеза</t>
        </is>
      </c>
      <c r="J4" s="4" t="inlineStr">
        <is>
          <t>Юридическая оценка</t>
        </is>
      </c>
      <c r="K4" s="4" t="inlineStr">
        <is>
          <t>Сверка основания и условий</t>
        </is>
      </c>
    </row>
    <row r="5" ht="36" customHeight="1">
      <c r="A5" s="4" t="inlineStr">
        <is>
          <t>ГП Контрагент</t>
        </is>
      </c>
      <c r="B5" s="4" t="inlineStr">
        <is>
          <t>Поставка ГСМ</t>
        </is>
      </c>
      <c r="C5" s="5" t="n">
        <v>1100000</v>
      </c>
      <c r="D5" s="4" t="inlineStr">
        <is>
          <t>НОРМА</t>
        </is>
      </c>
      <c r="E5" s="4" t="inlineStr">
        <is>
          <t>НОРМА</t>
        </is>
      </c>
      <c r="F5" s="4" t="inlineStr">
        <is>
          <t>НОРМА</t>
        </is>
      </c>
      <c r="G5" s="4" t="inlineStr">
        <is>
          <t>НОРМА</t>
        </is>
      </c>
      <c r="H5" s="5" t="n">
        <v>0</v>
      </c>
      <c r="I5" s="4" t="inlineStr">
        <is>
          <t>Проверяемая гипотеза</t>
        </is>
      </c>
      <c r="J5" s="4" t="inlineStr">
        <is>
          <t>Юридическая оценка</t>
        </is>
      </c>
      <c r="K5" s="4" t="inlineStr">
        <is>
          <t>Сверка основания и условий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5581056.0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Число индикаторов не устанавливает притворность сделки и не создаёт автоматического основания для расторжения. Проверяются действительная воля сторон, предмет и исполнение по применимому праву.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(Контрагент)</t>
        </is>
      </c>
      <c r="B1" s="3" t="inlineStr">
        <is>
          <t>B (Тип)</t>
        </is>
      </c>
      <c r="C1" s="3" t="inlineStr">
        <is>
          <t>C (Сумма)</t>
        </is>
      </c>
      <c r="D1" s="3" t="inlineStr">
        <is>
          <t>D (Точка 1)</t>
        </is>
      </c>
      <c r="E1" s="3" t="inlineStr">
        <is>
          <t>E (Точка 2)</t>
        </is>
      </c>
      <c r="F1" s="3" t="inlineStr">
        <is>
          <t>F (Точка 4)</t>
        </is>
      </c>
      <c r="G1" s="3" t="inlineStr">
        <is>
          <t>G (Точка 5)</t>
        </is>
      </c>
      <c r="H1" s="3" t="inlineStr">
        <is>
          <t>H (Риски)</t>
        </is>
      </c>
      <c r="I1" s="3" t="inlineStr">
        <is>
          <t>I (Схема)</t>
        </is>
      </c>
      <c r="J1" s="3" t="inlineStr">
        <is>
          <t>J (Юр. статус)</t>
        </is>
      </c>
      <c r="K1" s="3" t="inlineStr">
        <is>
          <t>K (Решение)</t>
        </is>
      </c>
    </row>
    <row r="2" ht="36" customHeight="1">
      <c r="A2" s="4" t="inlineStr">
        <is>
          <t>учебная организация «Контрагент CDDA»</t>
        </is>
      </c>
      <c r="B2" s="4" t="inlineStr">
        <is>
          <t>Сотрудничество</t>
        </is>
      </c>
      <c r="C2" s="5" t="n">
        <v>300000</v>
      </c>
      <c r="D2" s="4" t="inlineStr">
        <is>
          <t>ПРИТВОРН</t>
        </is>
      </c>
      <c r="E2" s="4" t="inlineStr">
        <is>
          <t>НОРМА</t>
        </is>
      </c>
      <c r="F2" s="4" t="inlineStr">
        <is>
          <t>НОРМА</t>
        </is>
      </c>
      <c r="G2" s="4" t="inlineStr">
        <is>
          <t>РАЗМЫТ</t>
        </is>
      </c>
      <c r="H2" s="7">
        <f>COUNTIF(D2:G2,"&lt;&gt;НОРМА")</f>
        <v>0</v>
      </c>
      <c r="I2" s="4" t="inlineStr">
        <is>
          <t>Проверяемая гипотеза</t>
        </is>
      </c>
      <c r="J2" s="4" t="inlineStr">
        <is>
          <t>Юридическая оценка</t>
        </is>
      </c>
      <c r="K2" s="4" t="inlineStr">
        <is>
          <t>Сверка основания и условий</t>
        </is>
      </c>
    </row>
    <row r="3" ht="36" customHeight="1">
      <c r="A3" s="4" t="inlineStr">
        <is>
          <t>учебная организация «Контрагент A5D9»</t>
        </is>
      </c>
      <c r="B3" s="4" t="inlineStr">
        <is>
          <t>Удобрения</t>
        </is>
      </c>
      <c r="C3" s="5" t="n">
        <v>4180000</v>
      </c>
      <c r="D3" s="4" t="inlineStr">
        <is>
          <t>НОРМА</t>
        </is>
      </c>
      <c r="E3" s="4" t="inlineStr">
        <is>
          <t>НОРМА</t>
        </is>
      </c>
      <c r="F3" s="4" t="inlineStr">
        <is>
          <t>ЗАВЫШЕНА</t>
        </is>
      </c>
      <c r="G3" s="4" t="inlineStr">
        <is>
          <t>НОРМА</t>
        </is>
      </c>
      <c r="H3" s="7">
        <f>COUNTIF(D3:G3,"&lt;&gt;НОРМА")</f>
        <v>0</v>
      </c>
      <c r="I3" s="4" t="inlineStr">
        <is>
          <t>Проверяемая гипотеза</t>
        </is>
      </c>
      <c r="J3" s="4" t="inlineStr">
        <is>
          <t>Юридическая оценка</t>
        </is>
      </c>
      <c r="K3" s="4" t="inlineStr">
        <is>
          <t>Сверка основания и условий</t>
        </is>
      </c>
    </row>
    <row r="4" ht="36" customHeight="1">
      <c r="A4" s="4" t="inlineStr">
        <is>
          <t>Сотрудник 19</t>
        </is>
      </c>
      <c r="B4" s="4" t="inlineStr">
        <is>
          <t>Договор ГПХ</t>
        </is>
      </c>
      <c r="C4" s="5" t="n">
        <v>1056</v>
      </c>
      <c r="D4" s="4" t="inlineStr">
        <is>
          <t>НОРМА</t>
        </is>
      </c>
      <c r="E4" s="4" t="inlineStr">
        <is>
          <t>ИНН ОШИБКА</t>
        </is>
      </c>
      <c r="F4" s="4" t="inlineStr">
        <is>
          <t>НОРМА</t>
        </is>
      </c>
      <c r="G4" s="4" t="inlineStr">
        <is>
          <t>НОРМА</t>
        </is>
      </c>
      <c r="H4" s="7">
        <f>COUNTIF(D4:G4,"&lt;&gt;НОРМА")</f>
        <v>0</v>
      </c>
      <c r="I4" s="4" t="inlineStr">
        <is>
          <t>Проверяемая гипотеза</t>
        </is>
      </c>
      <c r="J4" s="4" t="inlineStr">
        <is>
          <t>Юридическая оценка</t>
        </is>
      </c>
      <c r="K4" s="4" t="inlineStr">
        <is>
          <t>Сверка основания и условий</t>
        </is>
      </c>
    </row>
    <row r="5" ht="36" customHeight="1">
      <c r="A5" s="4" t="inlineStr">
        <is>
          <t>ГП Контрагент</t>
        </is>
      </c>
      <c r="B5" s="4" t="inlineStr">
        <is>
          <t>Поставка ГСМ</t>
        </is>
      </c>
      <c r="C5" s="5" t="n">
        <v>1100000</v>
      </c>
      <c r="D5" s="4" t="inlineStr">
        <is>
          <t>НОРМА</t>
        </is>
      </c>
      <c r="E5" s="4" t="inlineStr">
        <is>
          <t>НОРМА</t>
        </is>
      </c>
      <c r="F5" s="4" t="inlineStr">
        <is>
          <t>НОРМА</t>
        </is>
      </c>
      <c r="G5" s="4" t="inlineStr">
        <is>
          <t>НОРМА</t>
        </is>
      </c>
      <c r="H5" s="7">
        <f>COUNTIF(D5:G5,"&lt;&gt;НОРМА")</f>
        <v>0</v>
      </c>
      <c r="I5" s="4" t="inlineStr">
        <is>
          <t>Проверяемая гипотеза</t>
        </is>
      </c>
      <c r="J5" s="4" t="inlineStr">
        <is>
          <t>Юридическая оценка</t>
        </is>
      </c>
      <c r="K5" s="4" t="inlineStr">
        <is>
          <t>Сверка основания и условий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7">
        <f>SUM(C2:C5)</f>
        <v>5581056.0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Число индикаторов не устанавливает притворность сделки и не создаёт автоматического основания для расторжения. Проверяются действительная воля сторон, предмет и исполнение по применимому праву.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(Объект)</t>
        </is>
      </c>
      <c r="B1" s="3" t="inlineStr">
        <is>
          <t>B (Декларируемый метод)</t>
        </is>
      </c>
      <c r="C1" s="3" t="inlineStr">
        <is>
          <t>C (Фактический метод)</t>
        </is>
      </c>
      <c r="D1" s="3" t="inlineStr">
        <is>
          <t>D (Прибыль по варианту A)</t>
        </is>
      </c>
      <c r="E1" s="3" t="inlineStr">
        <is>
          <t>E (Прибыль по варианту B)</t>
        </is>
      </c>
      <c r="F1" s="3" t="inlineStr">
        <is>
          <t>F (Искажение, сом)</t>
        </is>
      </c>
      <c r="G1" s="3" t="inlineStr">
        <is>
          <t>G (Причина)</t>
        </is>
      </c>
      <c r="H1" s="3" t="inlineStr">
        <is>
          <t>H (Фактор риска)</t>
        </is>
      </c>
      <c r="I1" s="3" t="inlineStr">
        <is>
          <t>I (Статус контроля)</t>
        </is>
      </c>
      <c r="J1" s="3" t="inlineStr">
        <is>
          <t>J (Решение)</t>
        </is>
      </c>
      <c r="K1" s="3" t="inlineStr">
        <is>
          <t>K (Форензик-статус)</t>
        </is>
      </c>
    </row>
    <row r="2" ht="36" customHeight="1">
      <c r="A2" s="4" t="inlineStr">
        <is>
          <t>Удобрения</t>
        </is>
      </c>
      <c r="B2" s="4" t="inlineStr">
        <is>
          <t>FIFO</t>
        </is>
      </c>
      <c r="C2" s="4" t="inlineStr">
        <is>
          <t>По средней</t>
        </is>
      </c>
      <c r="D2" s="5" t="n">
        <v>300000</v>
      </c>
      <c r="E2" s="5" t="n">
        <v>200000</v>
      </c>
      <c r="F2" s="7">
        <f>D2-E2</f>
        <v>100000.0</v>
      </c>
      <c r="G2" s="4" t="inlineStr">
        <is>
          <t>Смена метода</t>
        </is>
      </c>
      <c r="H2" s="4" t="inlineStr">
        <is>
          <t>Высокий</t>
        </is>
      </c>
      <c r="I2" s="4" t="inlineStr">
        <is>
          <t>Сверка методов и оснований</t>
        </is>
      </c>
      <c r="J2" s="4" t="inlineStr">
        <is>
          <t>Проверить учётную политику</t>
        </is>
      </c>
      <c r="K2" s="4" t="inlineStr">
        <is>
          <t>Расхождение требует объяснения</t>
        </is>
      </c>
    </row>
    <row r="3" ht="36" customHeight="1">
      <c r="A3" s="4" t="inlineStr">
        <is>
          <t>Комбайны</t>
        </is>
      </c>
      <c r="B3" s="4" t="inlineStr">
        <is>
          <t>8 лет аморт.</t>
        </is>
      </c>
      <c r="C3" s="4" t="inlineStr">
        <is>
          <t>16 лет аморт.</t>
        </is>
      </c>
      <c r="D3" s="5" t="n">
        <v>150000</v>
      </c>
      <c r="E3" s="5" t="n">
        <v>140000</v>
      </c>
      <c r="F3" s="7">
        <f>D3-E3</f>
        <v>10000.0</v>
      </c>
      <c r="G3" s="4" t="inlineStr">
        <is>
          <t>Растяжение ОС</t>
        </is>
      </c>
      <c r="H3" s="4" t="inlineStr">
        <is>
          <t>Средний</t>
        </is>
      </c>
      <c r="I3" s="4" t="inlineStr">
        <is>
          <t>Сверка методов и оснований</t>
        </is>
      </c>
      <c r="J3" s="4" t="inlineStr">
        <is>
          <t>Проверить учётную политику</t>
        </is>
      </c>
      <c r="K3" s="4" t="inlineStr">
        <is>
          <t>Расхождение требует объяснения</t>
        </is>
      </c>
    </row>
    <row r="4" ht="36" customHeight="1">
      <c r="A4" s="4" t="inlineStr">
        <is>
          <t>Урожай сырца</t>
        </is>
      </c>
      <c r="B4" s="4" t="inlineStr">
        <is>
          <t>Полный учёт</t>
        </is>
      </c>
      <c r="C4" s="4" t="inlineStr">
        <is>
          <t>Скрытый свод</t>
        </is>
      </c>
      <c r="D4" s="5" t="n">
        <v>3250000</v>
      </c>
      <c r="E4" s="5" t="n">
        <v>0</v>
      </c>
      <c r="F4" s="7">
        <f>D4-E4</f>
        <v>3250000.0</v>
      </c>
      <c r="G4" s="4" t="inlineStr">
        <is>
          <t>Разрыв 500 т</t>
        </is>
      </c>
      <c r="H4" s="4" t="inlineStr">
        <is>
          <t>Критический</t>
        </is>
      </c>
      <c r="I4" s="4" t="inlineStr">
        <is>
          <t>Сверка методов и оснований</t>
        </is>
      </c>
      <c r="J4" s="4" t="inlineStr">
        <is>
          <t>Проверить учётную политику</t>
        </is>
      </c>
      <c r="K4" s="4" t="inlineStr">
        <is>
          <t>Расхождение требует объяснения</t>
        </is>
      </c>
    </row>
    <row r="5" ht="36" customHeight="1">
      <c r="A5" s="4" t="inlineStr">
        <is>
          <t>Дизель ГСМ</t>
        </is>
      </c>
      <c r="B5" s="4" t="inlineStr">
        <is>
          <t>По норме</t>
        </is>
      </c>
      <c r="C5" s="4" t="inlineStr">
        <is>
          <t>По факту</t>
        </is>
      </c>
      <c r="D5" s="5" t="n">
        <v>200000</v>
      </c>
      <c r="E5" s="5" t="n">
        <v>200000</v>
      </c>
      <c r="F5" s="7">
        <f>D5-E5</f>
        <v>0.0</v>
      </c>
      <c r="G5" s="4" t="inlineStr">
        <is>
          <t>Соблюдение</t>
        </is>
      </c>
      <c r="H5" s="4" t="inlineStr">
        <is>
          <t>Низкий</t>
        </is>
      </c>
      <c r="I5" s="4" t="inlineStr">
        <is>
          <t>Сверка методов и оснований</t>
        </is>
      </c>
      <c r="J5" s="4" t="inlineStr">
        <is>
          <t>Проверить учётную политику</t>
        </is>
      </c>
      <c r="K5" s="4" t="inlineStr">
        <is>
          <t>Расхождение требует объяснения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3900000.0</v>
      </c>
      <c r="E6" s="7">
        <f>SUM(E2:E5)</f>
        <v>540000.0</v>
      </c>
      <c r="F6" s="7">
        <f>SUM(F2:F5)</f>
        <v>3360000.0</v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Сравниваются условные учётные варианты. Разница оценок сама по себе не доказывает манипуляцию. Изменение срока службы или метода допустимо только при надлежащих основаниях и раскрытии по применимым стандартам.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(Объект)</t>
        </is>
      </c>
      <c r="B1" s="3" t="inlineStr">
        <is>
          <t>B (Декларируемый)</t>
        </is>
      </c>
      <c r="C1" s="3" t="inlineStr">
        <is>
          <t>C (Фактический)</t>
        </is>
      </c>
      <c r="D1" s="3" t="inlineStr">
        <is>
          <t>D (Прибыль по варианту A)</t>
        </is>
      </c>
      <c r="E1" s="3" t="inlineStr">
        <is>
          <t>E (Прибыль по варианту B)</t>
        </is>
      </c>
      <c r="F1" s="3" t="inlineStr">
        <is>
          <t>F (Искажение)</t>
        </is>
      </c>
      <c r="G1" s="3" t="inlineStr">
        <is>
          <t>G (Причина)</t>
        </is>
      </c>
      <c r="H1" s="3" t="inlineStr">
        <is>
          <t>H (Риск)</t>
        </is>
      </c>
      <c r="I1" s="3" t="inlineStr">
        <is>
          <t>I (Статус)</t>
        </is>
      </c>
      <c r="J1" s="3" t="inlineStr">
        <is>
          <t>J (Решение)</t>
        </is>
      </c>
      <c r="K1" s="3" t="inlineStr">
        <is>
          <t>K (Форензик)</t>
        </is>
      </c>
    </row>
    <row r="2" ht="36" customHeight="1">
      <c r="A2" s="4" t="inlineStr">
        <is>
          <t>Удобрения</t>
        </is>
      </c>
      <c r="B2" s="4" t="inlineStr">
        <is>
          <t>FIFO</t>
        </is>
      </c>
      <c r="C2" s="4" t="inlineStr">
        <is>
          <t>По средней</t>
        </is>
      </c>
      <c r="D2" s="5" t="n">
        <v>300000</v>
      </c>
      <c r="E2" s="5" t="n">
        <v>200000</v>
      </c>
      <c r="F2" s="7">
        <f>D2-E2</f>
        <v>100000.0</v>
      </c>
      <c r="G2" s="4" t="inlineStr">
        <is>
          <t>Смена метода</t>
        </is>
      </c>
      <c r="H2" s="4" t="inlineStr">
        <is>
          <t>Высокий</t>
        </is>
      </c>
      <c r="I2" s="4" t="inlineStr">
        <is>
          <t>Сверка методов и оснований</t>
        </is>
      </c>
      <c r="J2" s="4" t="inlineStr">
        <is>
          <t>Проверить учётную политику</t>
        </is>
      </c>
      <c r="K2" s="4" t="inlineStr">
        <is>
          <t>Расхождение требует объяснения</t>
        </is>
      </c>
    </row>
    <row r="3" ht="36" customHeight="1">
      <c r="A3" s="4" t="inlineStr">
        <is>
          <t>Комбайны</t>
        </is>
      </c>
      <c r="B3" s="4" t="inlineStr">
        <is>
          <t>8 лет аморт.</t>
        </is>
      </c>
      <c r="C3" s="4" t="inlineStr">
        <is>
          <t>16 лет аморт.</t>
        </is>
      </c>
      <c r="D3" s="5" t="n">
        <v>150000</v>
      </c>
      <c r="E3" s="5" t="n">
        <v>140000</v>
      </c>
      <c r="F3" s="7">
        <f>D3-E3</f>
        <v>10000.0</v>
      </c>
      <c r="G3" s="4" t="inlineStr">
        <is>
          <t>Растяжение ОС</t>
        </is>
      </c>
      <c r="H3" s="4" t="inlineStr">
        <is>
          <t>Средний</t>
        </is>
      </c>
      <c r="I3" s="4" t="inlineStr">
        <is>
          <t>Сверка методов и оснований</t>
        </is>
      </c>
      <c r="J3" s="4" t="inlineStr">
        <is>
          <t>Проверить учётную политику</t>
        </is>
      </c>
      <c r="K3" s="4" t="inlineStr">
        <is>
          <t>Расхождение требует объяснения</t>
        </is>
      </c>
    </row>
    <row r="4" ht="36" customHeight="1">
      <c r="A4" s="4" t="inlineStr">
        <is>
          <t>Урожай сырца</t>
        </is>
      </c>
      <c r="B4" s="4" t="inlineStr">
        <is>
          <t>Полный учёт</t>
        </is>
      </c>
      <c r="C4" s="4" t="inlineStr">
        <is>
          <t>Скрытый свод</t>
        </is>
      </c>
      <c r="D4" s="5" t="n">
        <v>3250000</v>
      </c>
      <c r="E4" s="5" t="n">
        <v>0</v>
      </c>
      <c r="F4" s="7">
        <f>D4-E4</f>
        <v>3250000.0</v>
      </c>
      <c r="G4" s="4" t="inlineStr">
        <is>
          <t>Разрыв 500 т</t>
        </is>
      </c>
      <c r="H4" s="4" t="inlineStr">
        <is>
          <t>Критический</t>
        </is>
      </c>
      <c r="I4" s="4" t="inlineStr">
        <is>
          <t>Сверка методов и оснований</t>
        </is>
      </c>
      <c r="J4" s="4" t="inlineStr">
        <is>
          <t>Проверить учётную политику</t>
        </is>
      </c>
      <c r="K4" s="4" t="inlineStr">
        <is>
          <t>Расхождение требует объяснения</t>
        </is>
      </c>
    </row>
    <row r="5" ht="36" customHeight="1">
      <c r="A5" s="4" t="inlineStr">
        <is>
          <t>Дизель ГСМ</t>
        </is>
      </c>
      <c r="B5" s="4" t="inlineStr">
        <is>
          <t>По норме</t>
        </is>
      </c>
      <c r="C5" s="4" t="inlineStr">
        <is>
          <t>По факту</t>
        </is>
      </c>
      <c r="D5" s="5" t="n">
        <v>200000</v>
      </c>
      <c r="E5" s="5" t="n">
        <v>200000</v>
      </c>
      <c r="F5" s="7">
        <f>D5-E5</f>
        <v>0.0</v>
      </c>
      <c r="G5" s="4" t="inlineStr">
        <is>
          <t>Соблюдение</t>
        </is>
      </c>
      <c r="H5" s="4" t="inlineStr">
        <is>
          <t>Низкий</t>
        </is>
      </c>
      <c r="I5" s="4" t="inlineStr">
        <is>
          <t>Сверка методов и оснований</t>
        </is>
      </c>
      <c r="J5" s="4" t="inlineStr">
        <is>
          <t>Проверить учётную политику</t>
        </is>
      </c>
      <c r="K5" s="4" t="inlineStr">
        <is>
          <t>Расхождение требует объяснения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3900000.0</v>
      </c>
      <c r="E6" s="7">
        <f>SUM(E2:E5)</f>
        <v>540000.0</v>
      </c>
      <c r="F6" s="7">
        <f>SUM(F2:F5)</f>
        <v>3360000.0</v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Сравниваются условные учётные варианты. Разница оценок сама по себе не доказывает манипуляцию. Изменение срока службы или метода допустимо только при надлежащих основаниях и раскрытии по применимым стандартам.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(Зона риска)</t>
        </is>
      </c>
      <c r="B1" s="3" t="inlineStr">
        <is>
          <t>B (Всего вопросов)</t>
        </is>
      </c>
      <c r="C1" s="3" t="inlineStr">
        <is>
          <t>C (Выявлено маркеров)</t>
        </is>
      </c>
      <c r="D1" s="3" t="inlineStr">
        <is>
          <t>D (Индекс ICV)</t>
        </is>
      </c>
      <c r="E1" s="3" t="inlineStr">
        <is>
          <t>E (Критический маркер)</t>
        </is>
      </c>
      <c r="F1" s="3" t="inlineStr">
        <is>
          <t>F (Ущерб/Риск, сом)</t>
        </is>
      </c>
      <c r="G1" s="3" t="inlineStr">
        <is>
          <t>G (Уровень риска)</t>
        </is>
      </c>
      <c r="H1" s="3" t="inlineStr">
        <is>
          <t>H (Меры исправления)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 СВК)</t>
        </is>
      </c>
    </row>
    <row r="2" ht="36" customHeight="1">
      <c r="A2" s="4" t="inlineStr">
        <is>
          <t>Зона 1. Закупки</t>
        </is>
      </c>
      <c r="B2" s="5" t="n">
        <v>6</v>
      </c>
      <c r="C2" s="5" t="n">
        <v>4</v>
      </c>
      <c r="D2" s="7">
        <f>C2/B2</f>
        <v>0.6666666666666666</v>
      </c>
      <c r="E2" s="4" t="inlineStr">
        <is>
          <t>Нет подписи Сотрудник 23</t>
        </is>
      </c>
      <c r="F2" s="5" t="n">
        <v>1500000</v>
      </c>
      <c r="G2" s="4" t="inlineStr">
        <is>
          <t>КРИТИЧЕСКИЙ</t>
        </is>
      </c>
      <c r="H2" s="4" t="inlineStr">
        <is>
          <t>Подписание расценок</t>
        </is>
      </c>
      <c r="I2" s="4" t="inlineStr">
        <is>
          <t>3 дня</t>
        </is>
      </c>
      <c r="J2" s="4" t="inlineStr">
        <is>
          <t>Юрист / Сотрудник 12</t>
        </is>
      </c>
      <c r="K2" s="4" t="inlineStr">
        <is>
          <t>СРОЧНО</t>
        </is>
      </c>
    </row>
    <row r="3" ht="36" customHeight="1">
      <c r="A3" s="4" t="inlineStr">
        <is>
          <t>Зона 2. Инфобез</t>
        </is>
      </c>
      <c r="B3" s="5" t="n">
        <v>6</v>
      </c>
      <c r="C3" s="5" t="n">
        <v>2</v>
      </c>
      <c r="D3" s="7">
        <f>C3/B3</f>
        <v>0.3333333333333333</v>
      </c>
      <c r="E3" s="4" t="inlineStr">
        <is>
          <t>Общие пароли в Excel</t>
        </is>
      </c>
      <c r="F3" s="5" t="n">
        <v>100000</v>
      </c>
      <c r="G3" s="4" t="inlineStr">
        <is>
          <t>СРЕДНИЙ</t>
        </is>
      </c>
      <c r="H3" s="4" t="inlineStr">
        <is>
          <t>Ввести разграничение</t>
        </is>
      </c>
      <c r="I3" s="5" t="n">
        <v>10</v>
      </c>
      <c r="J3" s="4" t="inlineStr">
        <is>
          <t>IT-специалист</t>
        </is>
      </c>
      <c r="K3" s="4" t="inlineStr">
        <is>
          <t>В ПРОЦЕССЕ</t>
        </is>
      </c>
    </row>
    <row r="4" ht="36" customHeight="1">
      <c r="A4" s="4" t="inlineStr">
        <is>
          <t>Зона 3. Эком.без</t>
        </is>
      </c>
      <c r="B4" s="5" t="n">
        <v>6</v>
      </c>
      <c r="C4" s="5" t="n">
        <v>3</v>
      </c>
      <c r="D4" s="7">
        <f>C4/B4</f>
        <v>0.5</v>
      </c>
      <c r="E4" s="4" t="inlineStr">
        <is>
          <t>Конфликт Сотрудник 03</t>
        </is>
      </c>
      <c r="F4" s="5" t="n">
        <v>500000</v>
      </c>
      <c r="G4" s="4" t="inlineStr">
        <is>
          <t>КРИТИЧЕСКИЙ</t>
        </is>
      </c>
      <c r="H4" s="4" t="inlineStr">
        <is>
          <t>Разделение ролей</t>
        </is>
      </c>
      <c r="I4" s="5" t="n">
        <v>5</v>
      </c>
      <c r="J4" s="4" t="inlineStr">
        <is>
          <t>Экономист / СЭБ</t>
        </is>
      </c>
      <c r="K4" s="4" t="inlineStr">
        <is>
          <t>СРОЧНО</t>
        </is>
      </c>
    </row>
    <row r="5" ht="36" customHeight="1">
      <c r="A5" s="4" t="inlineStr">
        <is>
          <t>Зона 4. Цены</t>
        </is>
      </c>
      <c r="B5" s="5" t="n">
        <v>6</v>
      </c>
      <c r="C5" s="5" t="n">
        <v>2</v>
      </c>
      <c r="D5" s="7">
        <f>C5/B5</f>
        <v>0.3333333333333333</v>
      </c>
      <c r="E5" s="4" t="inlineStr">
        <is>
          <t>Ценовое отклонение удобрения</t>
        </is>
      </c>
      <c r="F5" s="5" t="n">
        <v>760000</v>
      </c>
      <c r="G5" s="4" t="inlineStr">
        <is>
          <t>СРЕДНИЙ</t>
        </is>
      </c>
      <c r="H5" s="4" t="inlineStr">
        <is>
          <t>Регламент 3 КП</t>
        </is>
      </c>
      <c r="I5" s="5" t="n">
        <v>7</v>
      </c>
      <c r="J5" s="4" t="inlineStr">
        <is>
          <t>Закупщик</t>
        </is>
      </c>
      <c r="K5" s="4" t="inlineStr">
        <is>
          <t>В ПРОЦЕССЕ</t>
        </is>
      </c>
    </row>
    <row r="6" ht="36" customHeight="1">
      <c r="A6" s="4" t="inlineStr">
        <is>
          <t>Зона 5. Склад</t>
        </is>
      </c>
      <c r="B6" s="5" t="n">
        <v>6</v>
      </c>
      <c r="C6" s="5" t="n">
        <v>5</v>
      </c>
      <c r="D6" s="7">
        <f>C6/B6</f>
        <v>0.8333333333333334</v>
      </c>
      <c r="E6" s="4" t="inlineStr">
        <is>
          <t>Пустые путевые листы</t>
        </is>
      </c>
      <c r="F6" s="5" t="n">
        <v>200000</v>
      </c>
      <c r="G6" s="4" t="inlineStr">
        <is>
          <t>КРИТИЧЕСКИЙ</t>
        </is>
      </c>
      <c r="H6" s="4" t="inlineStr">
        <is>
          <t>Шаблон 08 ГСМ + GPS</t>
        </is>
      </c>
      <c r="I6" s="4" t="inlineStr">
        <is>
          <t>3 дня</t>
        </is>
      </c>
      <c r="J6" s="4" t="inlineStr">
        <is>
          <t>Нач. гаража</t>
        </is>
      </c>
      <c r="K6" s="4" t="inlineStr">
        <is>
          <t>СРОЧНО</t>
        </is>
      </c>
    </row>
    <row r="7" ht="36" customHeight="1">
      <c r="A7" s="4" t="inlineStr">
        <is>
          <t>Зона 6. Инвентар.</t>
        </is>
      </c>
      <c r="B7" s="5" t="n">
        <v>6</v>
      </c>
      <c r="C7" s="5" t="n">
        <v>2</v>
      </c>
      <c r="D7" s="7">
        <f>C7/B7</f>
        <v>0.3333333333333333</v>
      </c>
      <c r="E7" s="4" t="inlineStr">
        <is>
          <t>Разрыв 500 т сырца</t>
        </is>
      </c>
      <c r="F7" s="5" t="n">
        <v>3253000</v>
      </c>
      <c r="G7" s="4" t="inlineStr">
        <is>
          <t>КРИТИЧЕСКИЙ</t>
        </is>
      </c>
      <c r="H7" s="4" t="inlineStr">
        <is>
          <t>Акт закрытия сезона</t>
        </is>
      </c>
      <c r="I7" s="4" t="inlineStr">
        <is>
          <t>1 день</t>
        </is>
      </c>
      <c r="J7" s="4" t="inlineStr">
        <is>
          <t>Аудитор / Гл.бух</t>
        </is>
      </c>
      <c r="K7" s="4" t="inlineStr">
        <is>
          <t>СРОЧНО</t>
        </is>
      </c>
    </row>
    <row r="8" ht="36" customHeight="1">
      <c r="A8" s="4" t="inlineStr">
        <is>
          <t>ИТОГО</t>
        </is>
      </c>
      <c r="B8" s="5" t="n">
        <v>36</v>
      </c>
      <c r="C8" s="7">
        <f>SUM(C2:C7)</f>
        <v>18.0</v>
      </c>
      <c r="D8" s="7">
        <f>C8/B8</f>
        <v>0.5</v>
      </c>
      <c r="E8" s="4" t="inlineStr">
        <is>
          <t>УЯЗВИМОСТЬ 50%</t>
        </is>
      </c>
      <c r="F8" s="7">
        <f>SUM(F2:F7)</f>
        <v>6313000.0</v>
      </c>
      <c r="G8" s="4" t="inlineStr">
        <is>
          <t>КРИТИЧЕСКИЙ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Учебная сверка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(Зона риска)</t>
        </is>
      </c>
      <c r="B1" s="3" t="inlineStr">
        <is>
          <t>B (Всего)</t>
        </is>
      </c>
      <c r="C1" s="3" t="inlineStr">
        <is>
          <t>C (Выявлено)</t>
        </is>
      </c>
      <c r="D1" s="3" t="inlineStr">
        <is>
          <t>D (Индекс ICV)</t>
        </is>
      </c>
      <c r="E1" s="3" t="inlineStr">
        <is>
          <t>E (Критический маркер)</t>
        </is>
      </c>
      <c r="F1" s="3" t="inlineStr">
        <is>
          <t>F (Ущерб/Риск, сом)</t>
        </is>
      </c>
      <c r="G1" s="3" t="inlineStr">
        <is>
          <t>G (Уровень риска)</t>
        </is>
      </c>
      <c r="H1" s="3" t="inlineStr">
        <is>
          <t>H (Меры)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 СВК)</t>
        </is>
      </c>
    </row>
    <row r="2" ht="36" customHeight="1">
      <c r="A2" s="4" t="inlineStr">
        <is>
          <t>Зона 1. Закупки</t>
        </is>
      </c>
      <c r="B2" s="5" t="n">
        <v>6</v>
      </c>
      <c r="C2" s="5" t="n">
        <v>4</v>
      </c>
      <c r="D2" s="7">
        <f>C2/B2</f>
        <v>0.6666666666666666</v>
      </c>
      <c r="E2" s="4" t="inlineStr">
        <is>
          <t>Нет подписи Сотрудник 23</t>
        </is>
      </c>
      <c r="F2" s="5" t="n">
        <v>1500000</v>
      </c>
      <c r="G2" s="7" t="str">
        <f>IF(D2&gt;=0.4,"КРИТИЧЕСКИЙ","СРЕДНИЙ")</f>
        <v>КРИТИЧЕСКИЙ</v>
      </c>
      <c r="H2" s="4" t="inlineStr">
        <is>
          <t>Подписание расценок</t>
        </is>
      </c>
      <c r="I2" s="4" t="inlineStr">
        <is>
          <t>3 дня</t>
        </is>
      </c>
      <c r="J2" s="4" t="inlineStr">
        <is>
          <t>Юрист / Сотрудник 12</t>
        </is>
      </c>
      <c r="K2" s="7" t="str">
        <f>IF(D2&gt;=0.4,"СРОЧНО","В ПРОЦЕССЕ")</f>
        <v>СРОЧНО</v>
      </c>
    </row>
    <row r="3" ht="36" customHeight="1">
      <c r="A3" s="4" t="inlineStr">
        <is>
          <t>Зона 2. Инфобез</t>
        </is>
      </c>
      <c r="B3" s="5" t="n">
        <v>6</v>
      </c>
      <c r="C3" s="5" t="n">
        <v>2</v>
      </c>
      <c r="D3" s="7">
        <f>C3/B3</f>
        <v>0.3333333333333333</v>
      </c>
      <c r="E3" s="4" t="inlineStr">
        <is>
          <t>Общие пароли в Excel</t>
        </is>
      </c>
      <c r="F3" s="5" t="n">
        <v>100000</v>
      </c>
      <c r="G3" s="7" t="str">
        <f>IF(D3&gt;=0.4,"КРИТИЧЕСКИЙ","СРЕДНИЙ")</f>
        <v>СРЕДНИЙ</v>
      </c>
      <c r="H3" s="4" t="inlineStr">
        <is>
          <t>Разграничение прав</t>
        </is>
      </c>
      <c r="I3" s="5" t="n">
        <v>10</v>
      </c>
      <c r="J3" s="4" t="inlineStr">
        <is>
          <t>IT-специалист</t>
        </is>
      </c>
      <c r="K3" s="7" t="str">
        <f>IF(D3&gt;=0.4,"СРОЧНО","В ПРОЦЕССЕ")</f>
        <v>В ПРОЦЕССЕ</v>
      </c>
    </row>
    <row r="4" ht="36" customHeight="1">
      <c r="A4" s="4" t="inlineStr">
        <is>
          <t>Зона 3. Экомбез</t>
        </is>
      </c>
      <c r="B4" s="5" t="n">
        <v>6</v>
      </c>
      <c r="C4" s="5" t="n">
        <v>3</v>
      </c>
      <c r="D4" s="7">
        <f>C4/B4</f>
        <v>0.5</v>
      </c>
      <c r="E4" s="4" t="inlineStr">
        <is>
          <t>Конфликт Сотрудник 03</t>
        </is>
      </c>
      <c r="F4" s="5" t="n">
        <v>500000</v>
      </c>
      <c r="G4" s="7" t="str">
        <f>IF(D4&gt;=0.4,"КРИТИЧЕСКИЙ","СРЕДНИЙ")</f>
        <v>КРИТИЧЕСКИЙ</v>
      </c>
      <c r="H4" s="4" t="inlineStr">
        <is>
          <t>Разделение ролей</t>
        </is>
      </c>
      <c r="I4" s="5" t="n">
        <v>5</v>
      </c>
      <c r="J4" s="4" t="inlineStr">
        <is>
          <t>Экономист / СЭБ</t>
        </is>
      </c>
      <c r="K4" s="7" t="str">
        <f>IF(D4&gt;=0.4,"СРОЧНО","В ПРОЦЕССЕ")</f>
        <v>СРОЧНО</v>
      </c>
    </row>
    <row r="5" ht="36" customHeight="1">
      <c r="A5" s="4" t="inlineStr">
        <is>
          <t>Зона 4. Цены</t>
        </is>
      </c>
      <c r="B5" s="5" t="n">
        <v>6</v>
      </c>
      <c r="C5" s="5" t="n">
        <v>2</v>
      </c>
      <c r="D5" s="7">
        <f>C5/B5</f>
        <v>0.3333333333333333</v>
      </c>
      <c r="E5" s="4" t="inlineStr">
        <is>
          <t>Ценовое отклонение удобрения</t>
        </is>
      </c>
      <c r="F5" s="5" t="n">
        <v>760000</v>
      </c>
      <c r="G5" s="7" t="str">
        <f>IF(D5&gt;=0.4,"КРИТИЧЕСКИЙ","СРЕДНИЙ")</f>
        <v>СРЕДНИЙ</v>
      </c>
      <c r="H5" s="4" t="inlineStr">
        <is>
          <t>Регламент 3 КП</t>
        </is>
      </c>
      <c r="I5" s="5" t="n">
        <v>7</v>
      </c>
      <c r="J5" s="4" t="inlineStr">
        <is>
          <t>Закупщик</t>
        </is>
      </c>
      <c r="K5" s="7" t="str">
        <f>IF(D5&gt;=0.4,"СРОЧНО","В ПРОЦЕССЕ")</f>
        <v>В ПРОЦЕССЕ</v>
      </c>
    </row>
    <row r="6" ht="36" customHeight="1">
      <c r="A6" s="4" t="inlineStr">
        <is>
          <t>Зона 5. Склад</t>
        </is>
      </c>
      <c r="B6" s="5" t="n">
        <v>6</v>
      </c>
      <c r="C6" s="5" t="n">
        <v>5</v>
      </c>
      <c r="D6" s="7">
        <f>C6/B6</f>
        <v>0.8333333333333334</v>
      </c>
      <c r="E6" s="4" t="inlineStr">
        <is>
          <t>Пустые путевые листы</t>
        </is>
      </c>
      <c r="F6" s="5" t="n">
        <v>200000</v>
      </c>
      <c r="G6" s="7" t="str">
        <f>IF(D6&gt;=0.4,"КРИТИЧЕСКИЙ","СРЕДНИЙ")</f>
        <v>КРИТИЧЕСКИЙ</v>
      </c>
      <c r="H6" s="4" t="inlineStr">
        <is>
          <t>Шаблон 08 + GPS</t>
        </is>
      </c>
      <c r="I6" s="4" t="inlineStr">
        <is>
          <t>3 дня</t>
        </is>
      </c>
      <c r="J6" s="4" t="inlineStr">
        <is>
          <t>Нач. гаража</t>
        </is>
      </c>
      <c r="K6" s="7" t="str">
        <f>IF(D6&gt;=0.4,"СРОЧНО","В ПРОЦЕССЕ")</f>
        <v>СРОЧНО</v>
      </c>
    </row>
    <row r="7" ht="36" customHeight="1">
      <c r="A7" s="4" t="inlineStr">
        <is>
          <t>Зона 6. Инвентар.</t>
        </is>
      </c>
      <c r="B7" s="5" t="n">
        <v>6</v>
      </c>
      <c r="C7" s="5" t="n">
        <v>2</v>
      </c>
      <c r="D7" s="7">
        <f>C7/B7</f>
        <v>0.3333333333333333</v>
      </c>
      <c r="E7" s="4" t="inlineStr">
        <is>
          <t>Разрыв 500 т сырца</t>
        </is>
      </c>
      <c r="F7" s="5" t="n">
        <v>3253000</v>
      </c>
      <c r="G7" s="7" t="str">
        <f>IF(D7&gt;=0.4,"КРИТИЧЕСКИЙ","СРЕДНИЙ")</f>
        <v>СРЕДНИЙ</v>
      </c>
      <c r="H7" s="4" t="inlineStr">
        <is>
          <t>Акт закрытия сезона</t>
        </is>
      </c>
      <c r="I7" s="4" t="inlineStr">
        <is>
          <t>1 день</t>
        </is>
      </c>
      <c r="J7" s="4" t="inlineStr">
        <is>
          <t>Аудитор / Гл.бух</t>
        </is>
      </c>
      <c r="K7" s="7" t="str">
        <f>IF(D7&gt;=0.4,"СРОЧНО","В ПРОЦЕССЕ")</f>
        <v>В ПРОЦЕССЕ</v>
      </c>
    </row>
    <row r="8" ht="36" customHeight="1">
      <c r="A8" s="4" t="inlineStr">
        <is>
          <t>ИТОГО</t>
        </is>
      </c>
      <c r="B8" s="5" t="n">
        <v>36</v>
      </c>
      <c r="C8" s="7">
        <f>SUM(C2:C7)</f>
        <v>18.0</v>
      </c>
      <c r="D8" s="7">
        <f>C8/B8</f>
        <v>0.5</v>
      </c>
      <c r="E8" s="4" t="inlineStr">
        <is>
          <t>УЯЗВИМОСТЬ</t>
        </is>
      </c>
      <c r="F8" s="7">
        <f>SUM(F2:F7)</f>
        <v>6313000.0</v>
      </c>
      <c r="G8" s="7" t="str">
        <f>IF(D8&gt;=0.4,"КРИТИЧЕСКИЙ","СРЕДНИЙ")</f>
        <v>КРИТИЧЕСКИЙ</v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Учебная сверка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Этап интервью</t>
        </is>
      </c>
      <c r="B1" s="3" t="inlineStr">
        <is>
          <t>Нейтральный вопрос</t>
        </is>
      </c>
      <c r="C1" s="3" t="inlineStr">
        <is>
          <t>Проверка</t>
        </is>
      </c>
      <c r="D1" s="3" t="inlineStr">
        <is>
          <t>Ограничение</t>
        </is>
      </c>
    </row>
    <row r="2" ht="36" customHeight="1">
      <c r="A2" s="4" t="inlineStr">
        <is>
          <t>Свободный рассказ</t>
        </is>
      </c>
      <c r="B2" s="4" t="inlineStr">
        <is>
          <t>Опишите порядок операции по шагам</t>
        </is>
      </c>
      <c r="C2" s="4" t="inlineStr">
        <is>
          <t>Сопоставить с регламентом</t>
        </is>
      </c>
      <c r="D2" s="4" t="inlineStr">
        <is>
          <t>Пауза и волнение не доказывают ложь</t>
        </is>
      </c>
    </row>
    <row r="3" ht="36" customHeight="1">
      <c r="A3" s="4" t="inlineStr">
        <is>
          <t>Уточнение</t>
        </is>
      </c>
      <c r="B3" s="4" t="inlineStr">
        <is>
          <t>Какие дата, единицы и первичный документ?</t>
        </is>
      </c>
      <c r="C3" s="4" t="inlineStr">
        <is>
          <t>Проверить записи и метаданные</t>
        </is>
      </c>
      <c r="D3" s="4" t="inlineStr">
        <is>
          <t>Память может быть неточной</t>
        </is>
      </c>
    </row>
    <row r="4" ht="36" customHeight="1">
      <c r="A4" s="4" t="inlineStr">
        <is>
          <t>Противоречие</t>
        </is>
      </c>
      <c r="B4" s="4" t="inlineStr">
        <is>
          <t>Чем объясняется различие этих двух записей?</t>
        </is>
      </c>
      <c r="C4" s="4" t="inlineStr">
        <is>
          <t>Независимый источник</t>
        </is>
      </c>
      <c r="D4" s="4" t="inlineStr">
        <is>
          <t>Не подсказывать желаемый ответ</t>
        </is>
      </c>
    </row>
    <row r="5" ht="36" customHeight="1">
      <c r="A5" s="4" t="inlineStr">
        <is>
          <t>Завершение</t>
        </is>
      </c>
      <c r="B5" s="4" t="inlineStr">
        <is>
          <t>Что следует проверить дополнительно?</t>
        </is>
      </c>
      <c r="C5" s="4" t="inlineStr">
        <is>
          <t>Зафиксировать ответ и поправки</t>
        </is>
      </c>
      <c r="D5" s="4" t="inlineStr">
        <is>
          <t>Не выводить диагноз или вину из поведения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D5"/>
  <mergeCells count="1">
    <mergeCell ref="A9:D11"/>
  </mergeCells>
  <pageMargins left="0.75" right="0.75" top="1" bottom="1" header="0.5" footer="0.5"/>
  <pageSetup orientation="landscape" paperSize="9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(Объект проверки)</t>
        </is>
      </c>
      <c r="B1" s="3" t="inlineStr">
        <is>
          <t>B (Должность)</t>
        </is>
      </c>
      <c r="C1" s="3" t="inlineStr">
        <is>
          <t>C (Аномалия / Риск)</t>
        </is>
      </c>
      <c r="D1" s="3" t="inlineStr">
        <is>
          <t>D (Сумма риска, сом)</t>
        </is>
      </c>
      <c r="E1" s="3" t="inlineStr">
        <is>
          <t>Проверяемая гипотеза</t>
        </is>
      </c>
      <c r="F1" s="3" t="inlineStr">
        <is>
          <t>F (Вопрос для уточнения)</t>
        </is>
      </c>
      <c r="G1" s="3" t="inlineStr">
        <is>
          <t>G (Документальное подтверждение)</t>
        </is>
      </c>
      <c r="H1" s="3" t="inlineStr">
        <is>
          <t>H (Уровень риска)</t>
        </is>
      </c>
      <c r="I1" s="3" t="inlineStr">
        <is>
          <t>I (Меры контроля)</t>
        </is>
      </c>
      <c r="J1" s="3" t="inlineStr">
        <is>
          <t>J (Срок)</t>
        </is>
      </c>
      <c r="K1" s="3" t="inlineStr">
        <is>
          <t>K (Статус)</t>
        </is>
      </c>
    </row>
    <row r="2" ht="36" customHeight="1">
      <c r="A2" s="4" t="inlineStr">
        <is>
          <t>АУ-4 (Сотрудник 03)</t>
        </is>
      </c>
      <c r="B2" s="4" t="inlineStr">
        <is>
          <t>Нач. АУ / Бригадир</t>
        </is>
      </c>
      <c r="C2" s="4" t="inlineStr">
        <is>
          <t>Урожайность 39,77 ц/га</t>
        </is>
      </c>
      <c r="D2" s="5" t="n">
        <v>100000</v>
      </c>
      <c r="E2" s="4" t="inlineStr">
        <is>
          <t>Уточнить ход операции и данные</t>
        </is>
      </c>
      <c r="F2" s="4" t="inlineStr">
        <is>
          <t>Объясните порядок записи и источник чисел</t>
        </is>
      </c>
      <c r="G2" s="4" t="inlineStr">
        <is>
          <t>Акт сверки весовой</t>
        </is>
      </c>
      <c r="H2" s="4" t="inlineStr">
        <is>
          <t>Приоритет проверки по данным</t>
        </is>
      </c>
      <c r="I2" s="4" t="inlineStr">
        <is>
          <t>Выездная проверка</t>
        </is>
      </c>
      <c r="J2" s="4" t="inlineStr">
        <is>
          <t>3 дня</t>
        </is>
      </c>
      <c r="K2" s="4" t="inlineStr">
        <is>
          <t>В РАБОТЕ</t>
        </is>
      </c>
    </row>
    <row r="3" ht="36" customHeight="1">
      <c r="A3" s="4" t="inlineStr">
        <is>
          <t>Закупка удобрений</t>
        </is>
      </c>
      <c r="B3" s="4" t="inlineStr">
        <is>
          <t>Снабженец</t>
        </is>
      </c>
      <c r="C3" s="4" t="inlineStr">
        <is>
          <t>Ценовое отклонение 25,7%</t>
        </is>
      </c>
      <c r="D3" s="5" t="n">
        <v>760000</v>
      </c>
      <c r="E3" s="4" t="inlineStr">
        <is>
          <t>Уточнить ход операции и данные</t>
        </is>
      </c>
      <c r="F3" s="4" t="inlineStr">
        <is>
          <t>Объясните порядок записи и источник чисел</t>
        </is>
      </c>
      <c r="G3" s="4" t="inlineStr">
        <is>
          <t>3 альтернативных КП</t>
        </is>
      </c>
      <c r="H3" s="4" t="inlineStr">
        <is>
          <t>Приоритет проверки по данным</t>
        </is>
      </c>
      <c r="I3" s="4" t="inlineStr">
        <is>
          <t>Запрос 3 КП</t>
        </is>
      </c>
      <c r="J3" s="5" t="n">
        <v>5</v>
      </c>
      <c r="K3" s="4" t="inlineStr">
        <is>
          <t>В РАБОТЕ</t>
        </is>
      </c>
    </row>
    <row r="4" ht="36" customHeight="1">
      <c r="A4" s="4" t="inlineStr">
        <is>
          <t>Гараж (Заправка)</t>
        </is>
      </c>
      <c r="B4" s="4" t="inlineStr">
        <is>
          <t>Заправщик</t>
        </is>
      </c>
      <c r="C4" s="4" t="inlineStr">
        <is>
          <t>Талоны без подписи</t>
        </is>
      </c>
      <c r="D4" s="5" t="n">
        <v>200000</v>
      </c>
      <c r="E4" s="4" t="inlineStr">
        <is>
          <t>Уточнить ход операции и данные</t>
        </is>
      </c>
      <c r="F4" s="4" t="inlineStr">
        <is>
          <t>Объясните порядок записи и источник чисел</t>
        </is>
      </c>
      <c r="G4" s="4" t="inlineStr">
        <is>
          <t>Путевые листы + GPS</t>
        </is>
      </c>
      <c r="H4" s="4" t="inlineStr">
        <is>
          <t>Приоритет проверки по данным</t>
        </is>
      </c>
      <c r="I4" s="4" t="inlineStr">
        <is>
          <t>Сверка с GPS</t>
        </is>
      </c>
      <c r="J4" s="5" t="n">
        <v>7</v>
      </c>
      <c r="K4" s="4" t="inlineStr">
        <is>
          <t>В ПРОЦЕССЕ</t>
        </is>
      </c>
    </row>
    <row r="5" ht="36" customHeight="1">
      <c r="A5" s="4" t="inlineStr">
        <is>
          <t>Участок АУ-1</t>
        </is>
      </c>
      <c r="B5" s="4" t="inlineStr">
        <is>
          <t>Бригадир</t>
        </is>
      </c>
      <c r="C5" s="4" t="inlineStr">
        <is>
          <t>Норма сбора 100%</t>
        </is>
      </c>
      <c r="D5" s="5" t="n">
        <v>50000</v>
      </c>
      <c r="E5" s="4" t="inlineStr">
        <is>
          <t>Уточнить ход операции и данные</t>
        </is>
      </c>
      <c r="F5" s="4" t="inlineStr">
        <is>
          <t>Объясните порядок записи и источник чисел</t>
        </is>
      </c>
      <c r="G5" s="4" t="inlineStr">
        <is>
          <t>Табели сбора</t>
        </is>
      </c>
      <c r="H5" s="4" t="inlineStr">
        <is>
          <t>Приоритет проверки по данным</t>
        </is>
      </c>
      <c r="I5" s="4" t="inlineStr">
        <is>
          <t>Плановый мониторинг</t>
        </is>
      </c>
      <c r="J5" s="5" t="n">
        <v>15</v>
      </c>
      <c r="K5" s="4" t="inlineStr">
        <is>
          <t>ЗАКРЫТО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Оценки не складываются без проверки пересечений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Поведение в интервью не используется как детектор лжи. Содержание проверяется по независимым данным, противоречия уточняются без наводящих вопросов. Медицинские и личностные ярлыки исключены.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(Объект)</t>
        </is>
      </c>
      <c r="B1" s="3" t="inlineStr">
        <is>
          <t>B (Должность)</t>
        </is>
      </c>
      <c r="C1" s="3" t="inlineStr">
        <is>
          <t>C (Аномалия)</t>
        </is>
      </c>
      <c r="D1" s="3" t="inlineStr">
        <is>
          <t>D (Сумма риска)</t>
        </is>
      </c>
      <c r="E1" s="3" t="inlineStr">
        <is>
          <t>Проверяемая гипотеза</t>
        </is>
      </c>
      <c r="F1" s="3" t="inlineStr">
        <is>
          <t>F (Вопрос для уточнения)</t>
        </is>
      </c>
      <c r="G1" s="3" t="inlineStr">
        <is>
          <t>G (Подтверждение)</t>
        </is>
      </c>
      <c r="H1" s="3" t="inlineStr">
        <is>
          <t>H (Уровень)</t>
        </is>
      </c>
      <c r="I1" s="3" t="inlineStr">
        <is>
          <t>I (Меры)</t>
        </is>
      </c>
      <c r="J1" s="3" t="inlineStr">
        <is>
          <t>J (Срок)</t>
        </is>
      </c>
      <c r="K1" s="3" t="inlineStr">
        <is>
          <t>K (Статус)</t>
        </is>
      </c>
    </row>
    <row r="2" ht="36" customHeight="1">
      <c r="A2" s="4" t="inlineStr">
        <is>
          <t>АУ-4 (Сотрудник 03)</t>
        </is>
      </c>
      <c r="B2" s="4" t="inlineStr">
        <is>
          <t>Нач. АУ / Бригадир</t>
        </is>
      </c>
      <c r="C2" s="4" t="inlineStr">
        <is>
          <t>Урожайность 39,77 ц/га</t>
        </is>
      </c>
      <c r="D2" s="5" t="n">
        <v>100000</v>
      </c>
      <c r="E2" s="4" t="inlineStr">
        <is>
          <t>Уточнить ход операции и данные</t>
        </is>
      </c>
      <c r="F2" s="4" t="inlineStr">
        <is>
          <t>Объясните порядок записи и источник чисел</t>
        </is>
      </c>
      <c r="G2" s="4" t="inlineStr">
        <is>
          <t>Акт сверки весовой</t>
        </is>
      </c>
      <c r="H2" s="4" t="inlineStr">
        <is>
          <t>Приоритет проверки по данным</t>
        </is>
      </c>
      <c r="I2" s="4" t="inlineStr">
        <is>
          <t>Выездная проверка</t>
        </is>
      </c>
      <c r="J2" s="4" t="inlineStr">
        <is>
          <t>3 дня</t>
        </is>
      </c>
      <c r="K2" s="4" t="inlineStr">
        <is>
          <t>В РАБОТЕ</t>
        </is>
      </c>
    </row>
    <row r="3" ht="36" customHeight="1">
      <c r="A3" s="4" t="inlineStr">
        <is>
          <t>Закупка удобрений</t>
        </is>
      </c>
      <c r="B3" s="4" t="inlineStr">
        <is>
          <t>Снабженец</t>
        </is>
      </c>
      <c r="C3" s="4" t="inlineStr">
        <is>
          <t>Ценовое отклонение 25,7%</t>
        </is>
      </c>
      <c r="D3" s="5" t="n">
        <v>760000</v>
      </c>
      <c r="E3" s="4" t="inlineStr">
        <is>
          <t>Уточнить ход операции и данные</t>
        </is>
      </c>
      <c r="F3" s="4" t="inlineStr">
        <is>
          <t>Объясните порядок записи и источник чисел</t>
        </is>
      </c>
      <c r="G3" s="4" t="inlineStr">
        <is>
          <t>3 альтернативных КП</t>
        </is>
      </c>
      <c r="H3" s="4" t="inlineStr">
        <is>
          <t>Приоритет проверки по данным</t>
        </is>
      </c>
      <c r="I3" s="4" t="inlineStr">
        <is>
          <t>Запрос 3 КП</t>
        </is>
      </c>
      <c r="J3" s="5" t="n">
        <v>5</v>
      </c>
      <c r="K3" s="4" t="inlineStr">
        <is>
          <t>В РАБОТЕ</t>
        </is>
      </c>
    </row>
    <row r="4" ht="36" customHeight="1">
      <c r="A4" s="4" t="inlineStr">
        <is>
          <t>Гараж (Заправка)</t>
        </is>
      </c>
      <c r="B4" s="4" t="inlineStr">
        <is>
          <t>Заправщик</t>
        </is>
      </c>
      <c r="C4" s="4" t="inlineStr">
        <is>
          <t>Талоны без подписи</t>
        </is>
      </c>
      <c r="D4" s="5" t="n">
        <v>200000</v>
      </c>
      <c r="E4" s="4" t="inlineStr">
        <is>
          <t>Уточнить ход операции и данные</t>
        </is>
      </c>
      <c r="F4" s="4" t="inlineStr">
        <is>
          <t>Объясните порядок записи и источник чисел</t>
        </is>
      </c>
      <c r="G4" s="4" t="inlineStr">
        <is>
          <t>Путевые листы + GPS</t>
        </is>
      </c>
      <c r="H4" s="4" t="inlineStr">
        <is>
          <t>Приоритет проверки по данным</t>
        </is>
      </c>
      <c r="I4" s="4" t="inlineStr">
        <is>
          <t>Сверка с GPS</t>
        </is>
      </c>
      <c r="J4" s="5" t="n">
        <v>7</v>
      </c>
      <c r="K4" s="4" t="inlineStr">
        <is>
          <t>В ПРОЦЕССЕ</t>
        </is>
      </c>
    </row>
    <row r="5" ht="36" customHeight="1">
      <c r="A5" s="4" t="inlineStr">
        <is>
          <t>Участок АУ-1</t>
        </is>
      </c>
      <c r="B5" s="4" t="inlineStr">
        <is>
          <t>Бригадир</t>
        </is>
      </c>
      <c r="C5" s="4" t="inlineStr">
        <is>
          <t>Норма сбора 100%</t>
        </is>
      </c>
      <c r="D5" s="5" t="n">
        <v>50000</v>
      </c>
      <c r="E5" s="4" t="inlineStr">
        <is>
          <t>Уточнить ход операции и данные</t>
        </is>
      </c>
      <c r="F5" s="4" t="inlineStr">
        <is>
          <t>Объясните порядок записи и источник чисел</t>
        </is>
      </c>
      <c r="G5" s="4" t="inlineStr">
        <is>
          <t>Табели сбора</t>
        </is>
      </c>
      <c r="H5" s="4" t="inlineStr">
        <is>
          <t>Приоритет проверки по данным</t>
        </is>
      </c>
      <c r="I5" s="4" t="inlineStr">
        <is>
          <t>Мониторинг</t>
        </is>
      </c>
      <c r="J5" s="5" t="n">
        <v>15</v>
      </c>
      <c r="K5" s="4" t="inlineStr">
        <is>
          <t>ЗАКРЫТО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Оценки не складываются без проверки пересечений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Поведение в интервью не используется как детектор лжи. Содержание проверяется по независимым данным, противоречия уточняются без наводящих вопросов. Медицинские и личностные ярлыки исключены.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Категория информации</t>
        </is>
      </c>
      <c r="B1" s="3" t="inlineStr">
        <is>
          <t>Перечень документов / файлов</t>
        </is>
      </c>
      <c r="C1" s="3" t="inlineStr">
        <is>
          <t>Риски при утечке</t>
        </is>
      </c>
    </row>
    <row r="2" ht="36" customHeight="1">
      <c r="A2" s="4" t="inlineStr">
        <is>
          <t>Коммерческие цены</t>
        </is>
      </c>
      <c r="B2" s="4" t="inlineStr">
        <is>
          <t>Реестры цен удобрений, ГСМ, СЗР (Анализ цен.xlsx)</t>
        </is>
      </c>
      <c r="C2" s="4" t="inlineStr">
        <is>
          <t>Поставщики узнают «потолок» цен и держат наценку.</t>
        </is>
      </c>
    </row>
    <row r="3" ht="36" customHeight="1">
      <c r="A3" s="4" t="inlineStr">
        <is>
          <t>Себестоимость</t>
        </is>
      </c>
      <c r="B3" s="4" t="inlineStr">
        <is>
          <t>Калькуляция 1 га, техкарты (Калькуляция затрат.xlsx)</t>
        </is>
      </c>
      <c r="C3" s="4" t="inlineStr">
        <is>
          <t>Потеря переговорной силы с покупателями сырца.</t>
        </is>
      </c>
    </row>
    <row r="4" ht="36" customHeight="1">
      <c r="A4" s="4" t="inlineStr">
        <is>
          <t>Финансовое состояние</t>
        </is>
      </c>
      <c r="B4" s="4" t="inlineStr">
        <is>
          <t>БДДС, График ХТ (БДДС ПК 2025.xlsx)</t>
        </is>
      </c>
      <c r="C4" s="4" t="inlineStr">
        <is>
          <t>Раскрытие точек кассового разрыва для давления.</t>
        </is>
      </c>
    </row>
    <row r="5" ht="36" customHeight="1">
      <c r="A5" s="4" t="inlineStr">
        <is>
          <t>Персональные данные</t>
        </is>
      </c>
      <c r="B5" s="4" t="inlineStr">
        <is>
          <t>Табели ЗП, договоры ГПХ, паспорта работников</t>
        </is>
      </c>
      <c r="C5" s="4" t="inlineStr">
        <is>
          <t>Регуляторные штрафы за нарушение закона о ПДн.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C5"/>
  <mergeCells count="1">
    <mergeCell ref="A9:C11"/>
  </mergeCells>
  <pageMargins left="0.75" right="0.75" top="1" bottom="1" header="0.5" footer="0.5"/>
  <pageSetup orientation="landscape" paperSize="9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(Информационный актив)</t>
        </is>
      </c>
      <c r="B1" s="3" t="inlineStr">
        <is>
          <t>B (Файл / Источник)</t>
        </is>
      </c>
      <c r="C1" s="3" t="inlineStr">
        <is>
          <t>C (Категория тайны)</t>
        </is>
      </c>
      <c r="D1" s="3" t="inlineStr">
        <is>
          <t>D (Риск утечки, сом)</t>
        </is>
      </c>
      <c r="E1" s="3" t="inlineStr">
        <is>
          <t>E (Текущий доступ)</t>
        </is>
      </c>
      <c r="F1" s="3" t="inlineStr">
        <is>
          <t>F (Уязвимость)</t>
        </is>
      </c>
      <c r="G1" s="3" t="inlineStr">
        <is>
          <t>G (Уровень риска)</t>
        </is>
      </c>
      <c r="H1" s="3" t="inlineStr">
        <is>
          <t>H (Меры защиты)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 ИБ)</t>
        </is>
      </c>
    </row>
    <row r="2" ht="36" customHeight="1">
      <c r="A2" s="4" t="inlineStr">
        <is>
          <t>Анализ цен удобрений</t>
        </is>
      </c>
      <c r="B2" s="4" t="inlineStr">
        <is>
          <t>Анализ цен.xlsx</t>
        </is>
      </c>
      <c r="C2" s="4" t="inlineStr">
        <is>
          <t>Коммерческая</t>
        </is>
      </c>
      <c r="D2" s="5" t="n">
        <v>760000</v>
      </c>
      <c r="E2" s="4" t="inlineStr">
        <is>
          <t>Общая папка</t>
        </is>
      </c>
      <c r="F2" s="4" t="inlineStr">
        <is>
          <t>Утечка к поставщику</t>
        </is>
      </c>
      <c r="G2" s="4" t="inlineStr">
        <is>
          <t>КРИТИЧЕСКИЙ</t>
        </is>
      </c>
      <c r="H2" s="4" t="inlineStr">
        <is>
          <t>Сервер + Пароли</t>
        </is>
      </c>
      <c r="I2" s="4" t="inlineStr">
        <is>
          <t>2 дня</t>
        </is>
      </c>
      <c r="J2" s="4" t="inlineStr">
        <is>
          <t>IT / Экономист</t>
        </is>
      </c>
      <c r="K2" s="4" t="inlineStr">
        <is>
          <t>В РАБОТЕ</t>
        </is>
      </c>
    </row>
    <row r="3" ht="36" customHeight="1">
      <c r="A3" s="4" t="inlineStr">
        <is>
          <t>Финансовая модель</t>
        </is>
      </c>
      <c r="B3" s="4" t="inlineStr">
        <is>
          <t>БДДС ПК 2025.xlsx</t>
        </is>
      </c>
      <c r="C3" s="4" t="inlineStr">
        <is>
          <t>Коммерческая</t>
        </is>
      </c>
      <c r="D3" s="5" t="n">
        <v>1000000</v>
      </c>
      <c r="E3" s="4" t="inlineStr">
        <is>
          <t>Все закупщики</t>
        </is>
      </c>
      <c r="F3" s="4" t="inlineStr">
        <is>
          <t>Раскрытие кэша</t>
        </is>
      </c>
      <c r="G3" s="4" t="inlineStr">
        <is>
          <t>КРИТИЧЕСКИЙ</t>
        </is>
      </c>
      <c r="H3" s="4" t="inlineStr">
        <is>
          <t>Запрет флешек+NDA</t>
        </is>
      </c>
      <c r="I3" s="5" t="n">
        <v>5</v>
      </c>
      <c r="J3" s="4" t="inlineStr">
        <is>
          <t>Экономист / СЭБ</t>
        </is>
      </c>
      <c r="K3" s="4" t="inlineStr">
        <is>
          <t>В РАБОТЕ</t>
        </is>
      </c>
    </row>
    <row r="4" ht="36" customHeight="1">
      <c r="A4" s="4" t="inlineStr">
        <is>
          <t>Зарплатный реестр</t>
        </is>
      </c>
      <c r="B4" s="4" t="inlineStr">
        <is>
          <t>Долг трактористов</t>
        </is>
      </c>
      <c r="C4" s="4" t="inlineStr">
        <is>
          <t>Персональные данные</t>
        </is>
      </c>
      <c r="D4" s="5" t="n">
        <v>200000</v>
      </c>
      <c r="E4" s="4" t="inlineStr">
        <is>
          <t>Флешки / WatsApp</t>
        </is>
      </c>
      <c r="F4" s="4" t="inlineStr">
        <is>
          <t>Штраф регулятора</t>
        </is>
      </c>
      <c r="G4" s="4" t="inlineStr">
        <is>
          <t>СРЕДНИЙ</t>
        </is>
      </c>
      <c r="H4" s="4" t="inlineStr">
        <is>
          <t>Шифрование + ПДн</t>
        </is>
      </c>
      <c r="I4" s="5" t="n">
        <v>7</v>
      </c>
      <c r="J4" s="4" t="inlineStr">
        <is>
          <t>Кадры / Гл.бух</t>
        </is>
      </c>
      <c r="K4" s="4" t="inlineStr">
        <is>
          <t>В ПРОЦЕССЕ</t>
        </is>
      </c>
    </row>
    <row r="5" ht="36" customHeight="1">
      <c r="A5" s="4" t="inlineStr">
        <is>
          <t>Учётная политика</t>
        </is>
      </c>
      <c r="B5" s="4" t="inlineStr">
        <is>
          <t>Учетная политика</t>
        </is>
      </c>
      <c r="C5" s="4" t="inlineStr">
        <is>
          <t>Внутренняя</t>
        </is>
      </c>
      <c r="D5" s="5" t="n">
        <v>50000</v>
      </c>
      <c r="E5" s="4" t="inlineStr">
        <is>
          <t>Читатель</t>
        </is>
      </c>
      <c r="F5" s="4" t="inlineStr">
        <is>
          <t>Минимальная</t>
        </is>
      </c>
      <c r="G5" s="4" t="inlineStr">
        <is>
          <t>НИЗКИЙ</t>
        </is>
      </c>
      <c r="H5" s="4" t="inlineStr">
        <is>
          <t>Плановый контроль</t>
        </is>
      </c>
      <c r="I5" s="5" t="n">
        <v>30</v>
      </c>
      <c r="J5" s="4" t="inlineStr">
        <is>
          <t>Юрист</t>
        </is>
      </c>
      <c r="K5" s="4" t="inlineStr">
        <is>
          <t>ЗАКРЫТО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2010000.0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(Актив)</t>
        </is>
      </c>
      <c r="B1" s="3" t="inlineStr">
        <is>
          <t>B (Файл)</t>
        </is>
      </c>
      <c r="C1" s="3" t="inlineStr">
        <is>
          <t>C (Категория)</t>
        </is>
      </c>
      <c r="D1" s="3" t="inlineStr">
        <is>
          <t>D (Риск, сом)</t>
        </is>
      </c>
      <c r="E1" s="3" t="inlineStr">
        <is>
          <t>E (Доступ)</t>
        </is>
      </c>
      <c r="F1" s="3" t="inlineStr">
        <is>
          <t>F (Уязвимость)</t>
        </is>
      </c>
      <c r="G1" s="3" t="inlineStr">
        <is>
          <t>G (Уровень)</t>
        </is>
      </c>
      <c r="H1" s="3" t="inlineStr">
        <is>
          <t>H (Меры)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 ИБ)</t>
        </is>
      </c>
    </row>
    <row r="2" ht="36" customHeight="1">
      <c r="A2" s="4" t="inlineStr">
        <is>
          <t>Анализ цен</t>
        </is>
      </c>
      <c r="B2" s="4" t="inlineStr">
        <is>
          <t>Анализ цен.xlsx</t>
        </is>
      </c>
      <c r="C2" s="4" t="inlineStr">
        <is>
          <t>Коммерческая</t>
        </is>
      </c>
      <c r="D2" s="5" t="n">
        <v>760000</v>
      </c>
      <c r="E2" s="4" t="inlineStr">
        <is>
          <t>Общая папка</t>
        </is>
      </c>
      <c r="F2" s="4" t="inlineStr">
        <is>
          <t>Утечка к поставщику</t>
        </is>
      </c>
      <c r="G2" s="4" t="inlineStr">
        <is>
          <t>КРИТИЧЕСКИЙ</t>
        </is>
      </c>
      <c r="H2" s="4" t="inlineStr">
        <is>
          <t>Сервер + Пароли</t>
        </is>
      </c>
      <c r="I2" s="4" t="inlineStr">
        <is>
          <t>2 дня</t>
        </is>
      </c>
      <c r="J2" s="4" t="inlineStr">
        <is>
          <t>IT / Экономист</t>
        </is>
      </c>
      <c r="K2" s="4" t="inlineStr">
        <is>
          <t>В РАБОТЕ</t>
        </is>
      </c>
    </row>
    <row r="3" ht="36" customHeight="1">
      <c r="A3" s="4" t="inlineStr">
        <is>
          <t>Фин. модель</t>
        </is>
      </c>
      <c r="B3" s="4" t="inlineStr">
        <is>
          <t>БДДС ПК 2025.xlsx</t>
        </is>
      </c>
      <c r="C3" s="4" t="inlineStr">
        <is>
          <t>Коммерческая</t>
        </is>
      </c>
      <c r="D3" s="5" t="n">
        <v>1000000</v>
      </c>
      <c r="E3" s="4" t="inlineStr">
        <is>
          <t>Все закупщики</t>
        </is>
      </c>
      <c r="F3" s="4" t="inlineStr">
        <is>
          <t>Раскрытие кэша</t>
        </is>
      </c>
      <c r="G3" s="4" t="inlineStr">
        <is>
          <t>КРИТИЧЕСКИЙ</t>
        </is>
      </c>
      <c r="H3" s="4" t="inlineStr">
        <is>
          <t>Запрет флешек+NDA</t>
        </is>
      </c>
      <c r="I3" s="5" t="n">
        <v>5</v>
      </c>
      <c r="J3" s="4" t="inlineStr">
        <is>
          <t>Экономист / СЭБ</t>
        </is>
      </c>
      <c r="K3" s="4" t="inlineStr">
        <is>
          <t>В РАБОТЕ</t>
        </is>
      </c>
    </row>
    <row r="4" ht="36" customHeight="1">
      <c r="A4" s="4" t="inlineStr">
        <is>
          <t>ЗП реестр</t>
        </is>
      </c>
      <c r="B4" s="4" t="inlineStr">
        <is>
          <t>Долг трактористов</t>
        </is>
      </c>
      <c r="C4" s="4" t="inlineStr">
        <is>
          <t>Персональные</t>
        </is>
      </c>
      <c r="D4" s="5" t="n">
        <v>200000</v>
      </c>
      <c r="E4" s="4" t="inlineStr">
        <is>
          <t>Флешки / WatsApp</t>
        </is>
      </c>
      <c r="F4" s="4" t="inlineStr">
        <is>
          <t>Штраф регулятора</t>
        </is>
      </c>
      <c r="G4" s="4" t="inlineStr">
        <is>
          <t>СРЕДНИЙ</t>
        </is>
      </c>
      <c r="H4" s="4" t="inlineStr">
        <is>
          <t>Шифрование + ПДн</t>
        </is>
      </c>
      <c r="I4" s="5" t="n">
        <v>7</v>
      </c>
      <c r="J4" s="4" t="inlineStr">
        <is>
          <t>Кадры / Гл.бух</t>
        </is>
      </c>
      <c r="K4" s="4" t="inlineStr">
        <is>
          <t>В ПРОЦЕССЕ</t>
        </is>
      </c>
    </row>
    <row r="5" ht="36" customHeight="1">
      <c r="A5" s="4" t="inlineStr">
        <is>
          <t>Учётная пол.</t>
        </is>
      </c>
      <c r="B5" s="4" t="inlineStr">
        <is>
          <t>Учетная политика</t>
        </is>
      </c>
      <c r="C5" s="4" t="inlineStr">
        <is>
          <t>Внутренняя</t>
        </is>
      </c>
      <c r="D5" s="5" t="n">
        <v>50000</v>
      </c>
      <c r="E5" s="4" t="inlineStr">
        <is>
          <t>Читатель</t>
        </is>
      </c>
      <c r="F5" s="4" t="inlineStr">
        <is>
          <t>Минимальная</t>
        </is>
      </c>
      <c r="G5" s="4" t="inlineStr">
        <is>
          <t>НИЗКИЙ</t>
        </is>
      </c>
      <c r="H5" s="4" t="inlineStr">
        <is>
          <t>Мониторинг</t>
        </is>
      </c>
      <c r="I5" s="5" t="n">
        <v>30</v>
      </c>
      <c r="J5" s="4" t="inlineStr">
        <is>
          <t>Юрист</t>
        </is>
      </c>
      <c r="K5" s="4" t="inlineStr">
        <is>
          <t>ЗАКРЫТО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2010000.0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Признак</t>
        </is>
      </c>
      <c r="B1" s="3" t="inlineStr">
        <is>
          <t>Трудовой договор (ТК)</t>
        </is>
      </c>
      <c r="C1" s="3" t="inlineStr">
        <is>
          <t>Гражданско-правовой договор (ГПХ)</t>
        </is>
      </c>
    </row>
    <row r="2" ht="36" customHeight="1">
      <c r="A2" s="4" t="inlineStr">
        <is>
          <t>Предмет договора</t>
        </is>
      </c>
      <c r="B2" s="4" t="inlineStr">
        <is>
          <t>Процесс выполнения трудовой функции (должность, профессия).</t>
        </is>
      </c>
      <c r="C2" s="4" t="inlineStr">
        <is>
          <t>Конкретный измеримый результат (га вспашки, кг сбора, тонны).</t>
        </is>
      </c>
    </row>
    <row r="3" ht="36" customHeight="1">
      <c r="A3" s="4" t="inlineStr">
        <is>
          <t>Оплата труда</t>
        </is>
      </c>
      <c r="B3" s="4" t="inlineStr">
        <is>
          <t>Регулярно в сроки применимого закона и договора</t>
        </is>
      </c>
      <c r="C3" s="4" t="inlineStr">
        <is>
          <t>Вознаграждение за выполненный объём по Акту.</t>
        </is>
      </c>
    </row>
    <row r="4" ht="36" customHeight="1">
      <c r="A4" s="4" t="inlineStr">
        <is>
          <t>Режим и дисциплина</t>
        </is>
      </c>
      <c r="B4" s="4" t="inlineStr">
        <is>
          <t>Режим рабочего времени по закону и договору</t>
        </is>
      </c>
      <c r="C4" s="4" t="inlineStr">
        <is>
          <t>Исполнитель сам определяет время и график выполнения.</t>
        </is>
      </c>
    </row>
    <row r="5" ht="36" customHeight="1">
      <c r="A5" s="4" t="inlineStr">
        <is>
          <t>Организация труда</t>
        </is>
      </c>
      <c r="B5" s="4" t="inlineStr">
        <is>
          <t>Работодатель предоставляет рабочее место, материалы, технику.</t>
        </is>
      </c>
      <c r="C5" s="4" t="inlineStr">
        <is>
          <t>Исполнитель работает на свой страх и риск (или аренда техники).</t>
        </is>
      </c>
    </row>
    <row r="6" ht="36" customHeight="1">
      <c r="A6" s="4" t="inlineStr">
        <is>
          <t>Терминология</t>
        </is>
      </c>
      <c r="B6" s="4" t="inlineStr">
        <is>
          <t>«Работник», «Работодатель», «Зарплата», «Отпуск».</t>
        </is>
      </c>
      <c r="C6" s="4" t="inlineStr">
        <is>
          <t>«Заказчик», «Исполнитель», «Вознаграждение», «Акт».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C6"/>
  <mergeCells count="1">
    <mergeCell ref="A10:C12"/>
  </mergeCells>
  <pageMargins left="0.75" right="0.75" top="1" bottom="1" header="0.5" footer="0.5"/>
  <pageSetup orientation="landscape" paperSize="9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(Категория)</t>
        </is>
      </c>
      <c r="B1" s="3" t="inlineStr">
        <is>
          <t>B (ФИО / Бригада)</t>
        </is>
      </c>
      <c r="C1" s="3" t="inlineStr">
        <is>
          <t>C (Вид договора)</t>
        </is>
      </c>
      <c r="D1" s="3" t="inlineStr">
        <is>
          <t>D (ФОТ/Выплата, сом)</t>
        </is>
      </c>
      <c r="E1" s="3" t="inlineStr">
        <is>
          <t>E (Признак риска)</t>
        </is>
      </c>
      <c r="F1" s="3" t="inlineStr">
        <is>
          <t>F (Условная денежная экспозиция)</t>
        </is>
      </c>
      <c r="G1" s="3" t="inlineStr">
        <is>
          <t>G (Уровень риска)</t>
        </is>
      </c>
      <c r="H1" s="3" t="inlineStr">
        <is>
          <t>H (Меры исправления)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(Статус)</t>
        </is>
      </c>
    </row>
    <row r="2" ht="36" customHeight="1">
      <c r="A2" s="4" t="inlineStr">
        <is>
          <t>Трактористы</t>
        </is>
      </c>
      <c r="B2" s="4" t="inlineStr">
        <is>
          <t>Бригада АУ-3</t>
        </is>
      </c>
      <c r="C2" s="4" t="inlineStr">
        <is>
          <t>Договор ГПХ</t>
        </is>
      </c>
      <c r="D2" s="5" t="n">
        <v>720000</v>
      </c>
      <c r="E2" s="4" t="inlineStr">
        <is>
          <t>Оклад + График</t>
        </is>
      </c>
      <c r="F2" s="7">
        <f>D2*0.25</f>
        <v>180000.0</v>
      </c>
      <c r="G2" s="4" t="inlineStr">
        <is>
          <t>КРИТИЧЕСКИЙ</t>
        </is>
      </c>
      <c r="H2" s="4" t="inlineStr">
        <is>
          <t>Юридическая оценка фактических отношений; при необходимости трудовой договор</t>
        </is>
      </c>
      <c r="I2" s="5" t="n">
        <v>5</v>
      </c>
      <c r="J2" s="4" t="inlineStr">
        <is>
          <t>Кадры / Юрист</t>
        </is>
      </c>
      <c r="K2" s="4" t="inlineStr">
        <is>
          <t>В РАБОТЕ</t>
        </is>
      </c>
    </row>
    <row r="3" ht="36" customHeight="1">
      <c r="A3" s="4" t="inlineStr">
        <is>
          <t>Сборщики</t>
        </is>
      </c>
      <c r="B3" s="4" t="inlineStr">
        <is>
          <t>Ручной сбор</t>
        </is>
      </c>
      <c r="C3" s="4" t="inlineStr">
        <is>
          <t>Сдельный ГПХ</t>
        </is>
      </c>
      <c r="D3" s="5" t="n">
        <v>5076000</v>
      </c>
      <c r="E3" s="4" t="inlineStr">
        <is>
          <t>Карта бригадира</t>
        </is>
      </c>
      <c r="F3" s="7">
        <f>D3*0.10</f>
        <v>507600.0</v>
      </c>
      <c r="G3" s="4" t="inlineStr">
        <is>
          <t>КРИТИЧЕСКИЙ</t>
        </is>
      </c>
      <c r="H3" s="4" t="inlineStr">
        <is>
          <t>Выплаты на личные карты</t>
        </is>
      </c>
      <c r="I3" s="5" t="n">
        <v>10</v>
      </c>
      <c r="J3" s="4" t="inlineStr">
        <is>
          <t>Гл.бух / ИТ</t>
        </is>
      </c>
      <c r="K3" s="4" t="inlineStr">
        <is>
          <t>В РАБОТЕ</t>
        </is>
      </c>
    </row>
    <row r="4" ht="36" customHeight="1">
      <c r="A4" s="4" t="inlineStr">
        <is>
          <t>АУП / Офис</t>
        </is>
      </c>
      <c r="B4" s="4" t="inlineStr">
        <is>
          <t>Специалисты</t>
        </is>
      </c>
      <c r="C4" s="4" t="inlineStr">
        <is>
          <t>Трудовой</t>
        </is>
      </c>
      <c r="D4" s="5" t="n">
        <v>300000</v>
      </c>
      <c r="E4" s="4" t="inlineStr">
        <is>
          <t>Нет риска</t>
        </is>
      </c>
      <c r="F4" s="5" t="n">
        <v>0</v>
      </c>
      <c r="G4" s="4" t="inlineStr">
        <is>
          <t>НИЗКИЙ</t>
        </is>
      </c>
      <c r="H4" s="4" t="inlineStr">
        <is>
          <t>Плановый мониторинг</t>
        </is>
      </c>
      <c r="I4" s="5" t="n">
        <v>30</v>
      </c>
      <c r="J4" s="4" t="inlineStr">
        <is>
          <t>Кадры</t>
        </is>
      </c>
      <c r="K4" s="4" t="inlineStr">
        <is>
          <t>ЗАКРЫТО</t>
        </is>
      </c>
    </row>
    <row r="5" ht="36" customHeight="1">
      <c r="A5" s="4" t="inlineStr">
        <is>
          <t>Механизаторы</t>
        </is>
      </c>
      <c r="B5" s="4" t="inlineStr">
        <is>
          <t>АУ-4 (Сотрудник 03)</t>
        </is>
      </c>
      <c r="C5" s="4" t="inlineStr">
        <is>
          <t>Договор ГПХ</t>
        </is>
      </c>
      <c r="D5" s="5" t="n">
        <v>200000</v>
      </c>
      <c r="E5" s="4" t="inlineStr">
        <is>
          <t>Нет Акта приёмки</t>
        </is>
      </c>
      <c r="F5" s="7">
        <f>D5*0.20</f>
        <v>40000.0</v>
      </c>
      <c r="G5" s="4" t="inlineStr">
        <is>
          <t>СРЕДНИЙ</t>
        </is>
      </c>
      <c r="H5" s="4" t="inlineStr">
        <is>
          <t>Ввести Акты Прил.№2</t>
        </is>
      </c>
      <c r="I5" s="4" t="inlineStr">
        <is>
          <t>3 дня</t>
        </is>
      </c>
      <c r="J5" s="4" t="inlineStr">
        <is>
          <t>Экономист</t>
        </is>
      </c>
      <c r="K5" s="4" t="inlineStr">
        <is>
          <t>В ПРОЦЕССЕ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6296000.0</v>
      </c>
      <c r="E6" s="4" t="inlineStr">
        <is>
          <t>—</t>
        </is>
      </c>
      <c r="F6" s="7">
        <f>SUM(F2:F5)</f>
        <v>727600.0</v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Коэффициенты 25%, 10%, 20% — произвольные сценарные параметры, не ставки доначислений и не вероятность нарушения. Фактические трудовые отношения не исправляются одним переходом на сдельную оплату. Исправлено смещение столбцов в шаблоне.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(Категория)</t>
        </is>
      </c>
      <c r="B1" s="3" t="inlineStr">
        <is>
          <t>B (ФИО / Бригада)</t>
        </is>
      </c>
      <c r="C1" s="3" t="inlineStr">
        <is>
          <t>C (Вид договора)</t>
        </is>
      </c>
      <c r="D1" s="3" t="inlineStr">
        <is>
          <t>D (ФОТ/Выплата, сом)</t>
        </is>
      </c>
      <c r="E1" s="3" t="inlineStr">
        <is>
          <t>E (Признак риска)</t>
        </is>
      </c>
      <c r="F1" s="3" t="inlineStr">
        <is>
          <t>F (Условная денежная экспозиция)</t>
        </is>
      </c>
      <c r="G1" s="3" t="inlineStr">
        <is>
          <t>G (Уровень риска)</t>
        </is>
      </c>
      <c r="H1" s="3" t="inlineStr">
        <is>
          <t>H (Меры исправления)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(Статус)</t>
        </is>
      </c>
    </row>
    <row r="2" ht="36" customHeight="1">
      <c r="A2" s="4" t="inlineStr">
        <is>
          <t>Трактористы</t>
        </is>
      </c>
      <c r="B2" s="4" t="inlineStr">
        <is>
          <t>Бригада АУ-3</t>
        </is>
      </c>
      <c r="C2" s="4" t="inlineStr">
        <is>
          <t>Договор ГПХ</t>
        </is>
      </c>
      <c r="D2" s="5" t="n">
        <v>720000</v>
      </c>
      <c r="E2" s="4" t="inlineStr">
        <is>
          <t>Оклад + График</t>
        </is>
      </c>
      <c r="F2" s="7">
        <f>D2*0.25</f>
        <v>180000.0</v>
      </c>
      <c r="G2" s="4" t="inlineStr">
        <is>
          <t>КРИТИЧЕСКИЙ</t>
        </is>
      </c>
      <c r="H2" s="4" t="inlineStr">
        <is>
          <t>Юридическая оценка фактических отношений; при необходимости трудовой договор</t>
        </is>
      </c>
      <c r="I2" s="5" t="n">
        <v>5</v>
      </c>
      <c r="J2" s="4" t="inlineStr">
        <is>
          <t>Кадры / Юрист</t>
        </is>
      </c>
      <c r="K2" s="4" t="inlineStr">
        <is>
          <t>В РАБОТЕ</t>
        </is>
      </c>
    </row>
    <row r="3" ht="36" customHeight="1">
      <c r="A3" s="4" t="inlineStr">
        <is>
          <t>Сборщики</t>
        </is>
      </c>
      <c r="B3" s="4" t="inlineStr">
        <is>
          <t>Ручной сбор</t>
        </is>
      </c>
      <c r="C3" s="4" t="inlineStr">
        <is>
          <t>Сдельный ГПХ</t>
        </is>
      </c>
      <c r="D3" s="5" t="n">
        <v>5076000</v>
      </c>
      <c r="E3" s="4" t="inlineStr">
        <is>
          <t>Карта бригадира</t>
        </is>
      </c>
      <c r="F3" s="7">
        <f>D3*0.10</f>
        <v>507600.0</v>
      </c>
      <c r="G3" s="4" t="inlineStr">
        <is>
          <t>КРИТИЧЕСКИЙ</t>
        </is>
      </c>
      <c r="H3" s="4" t="inlineStr">
        <is>
          <t>Выплаты на личные карты</t>
        </is>
      </c>
      <c r="I3" s="5" t="n">
        <v>10</v>
      </c>
      <c r="J3" s="4" t="inlineStr">
        <is>
          <t>Гл.бух / ИТ</t>
        </is>
      </c>
      <c r="K3" s="4" t="inlineStr">
        <is>
          <t>В РАБОТЕ</t>
        </is>
      </c>
    </row>
    <row r="4" ht="36" customHeight="1">
      <c r="A4" s="4" t="inlineStr">
        <is>
          <t>АУП / Офис</t>
        </is>
      </c>
      <c r="B4" s="4" t="inlineStr">
        <is>
          <t>Специалисты</t>
        </is>
      </c>
      <c r="C4" s="4" t="inlineStr">
        <is>
          <t>Трудовой</t>
        </is>
      </c>
      <c r="D4" s="5" t="n">
        <v>300000</v>
      </c>
      <c r="E4" s="4" t="inlineStr">
        <is>
          <t>Нет риска</t>
        </is>
      </c>
      <c r="F4" s="5" t="n">
        <v>0</v>
      </c>
      <c r="G4" s="4" t="inlineStr">
        <is>
          <t>НИЗКИЙ</t>
        </is>
      </c>
      <c r="H4" s="4" t="inlineStr">
        <is>
          <t>Плановый мониторинг</t>
        </is>
      </c>
      <c r="I4" s="5" t="n">
        <v>30</v>
      </c>
      <c r="J4" s="4" t="inlineStr">
        <is>
          <t>Кадры</t>
        </is>
      </c>
      <c r="K4" s="4" t="inlineStr">
        <is>
          <t>ЗАКРЫТО</t>
        </is>
      </c>
    </row>
    <row r="5" ht="36" customHeight="1">
      <c r="A5" s="4" t="inlineStr">
        <is>
          <t>Механизаторы</t>
        </is>
      </c>
      <c r="B5" s="4" t="inlineStr">
        <is>
          <t>АУ-4 (Сотрудник 03)</t>
        </is>
      </c>
      <c r="C5" s="4" t="inlineStr">
        <is>
          <t>Договор ГПХ</t>
        </is>
      </c>
      <c r="D5" s="5" t="n">
        <v>200000</v>
      </c>
      <c r="E5" s="4" t="inlineStr">
        <is>
          <t>Нет Акта приёмки</t>
        </is>
      </c>
      <c r="F5" s="7">
        <f>D5*0.20</f>
        <v>40000.0</v>
      </c>
      <c r="G5" s="4" t="inlineStr">
        <is>
          <t>СРЕДНИЙ</t>
        </is>
      </c>
      <c r="H5" s="4" t="inlineStr">
        <is>
          <t>Ввести Акты Прил.№2</t>
        </is>
      </c>
      <c r="I5" s="4" t="inlineStr">
        <is>
          <t>3 дня</t>
        </is>
      </c>
      <c r="J5" s="4" t="inlineStr">
        <is>
          <t>Экономист</t>
        </is>
      </c>
      <c r="K5" s="4" t="inlineStr">
        <is>
          <t>В ПРОЦЕССЕ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7">
        <f>SUM(D2:D5)</f>
        <v>6296000.0</v>
      </c>
      <c r="E6" s="4" t="inlineStr">
        <is>
          <t>—</t>
        </is>
      </c>
      <c r="F6" s="7">
        <f>SUM(F2:F5)</f>
        <v>727600.0</v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Коэффициенты 25%, 10%, 20% — произвольные сценарные параметры, не ставки доначислений и не вероятность нарушения. Фактические трудовые отношения не исправляются одним переходом на сдельную оплату. Исправлено смещение столбцов в шаблоне.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ФИО</t>
        </is>
      </c>
      <c r="B1" s="3" t="inlineStr">
        <is>
          <t>Должность</t>
        </is>
      </c>
      <c r="C1" s="3" t="inlineStr">
        <is>
          <t>Тарифная сетка 2026</t>
        </is>
      </c>
      <c r="D1" s="3" t="inlineStr">
        <is>
          <t>Расценки мех. работ</t>
        </is>
      </c>
      <c r="E1" s="3" t="inlineStr">
        <is>
          <t>Расценки ручных работ</t>
        </is>
      </c>
    </row>
    <row r="2" ht="36" customHeight="1">
      <c r="A2" s="4" t="inlineStr">
        <is>
          <t>Сотрудник 12</t>
        </is>
      </c>
      <c r="B2" s="4" t="inlineStr">
        <is>
          <t>Директор</t>
        </is>
      </c>
      <c r="C2" s="4" t="inlineStr"/>
      <c r="D2" s="4" t="inlineStr"/>
      <c r="E2" s="4" t="inlineStr"/>
    </row>
    <row r="3" ht="36" customHeight="1">
      <c r="A3" s="4" t="inlineStr">
        <is>
          <t>Сотрудник 10</t>
        </is>
      </c>
      <c r="B3" s="4" t="inlineStr">
        <is>
          <t>Зам. дир. по производству</t>
        </is>
      </c>
      <c r="C3" s="4" t="inlineStr"/>
      <c r="D3" s="4" t="inlineStr"/>
      <c r="E3" s="4" t="inlineStr"/>
    </row>
    <row r="4" ht="36" customHeight="1">
      <c r="A4" s="4" t="inlineStr">
        <is>
          <t>Сотрудник 07</t>
        </is>
      </c>
      <c r="B4" s="4" t="inlineStr">
        <is>
          <t>Главный агроном</t>
        </is>
      </c>
      <c r="C4" s="4" t="inlineStr"/>
      <c r="D4" s="4" t="inlineStr"/>
      <c r="E4" s="4" t="inlineStr"/>
    </row>
    <row r="5" ht="36" customHeight="1">
      <c r="A5" s="4" t="inlineStr">
        <is>
          <t>Сотрудник 05</t>
        </is>
      </c>
      <c r="B5" s="4" t="inlineStr">
        <is>
          <t>Главный бухгалтер</t>
        </is>
      </c>
      <c r="C5" s="4" t="inlineStr"/>
      <c r="D5" s="4" t="inlineStr"/>
      <c r="E5" s="4" t="inlineStr"/>
    </row>
    <row r="6" ht="36" customHeight="1">
      <c r="A6" s="4" t="inlineStr">
        <is>
          <t>Сотрудник 20</t>
        </is>
      </c>
      <c r="B6" s="4" t="inlineStr">
        <is>
          <t>Экономист</t>
        </is>
      </c>
      <c r="C6" s="4" t="inlineStr"/>
      <c r="D6" s="4" t="inlineStr"/>
      <c r="E6" s="4" t="inlineStr"/>
    </row>
    <row r="7" ht="36" customHeight="1">
      <c r="A7" s="4" t="inlineStr">
        <is>
          <t>С. Сотрудник 15</t>
        </is>
      </c>
      <c r="B7" s="4" t="inlineStr">
        <is>
          <t>Нач. АУ №1 (287 га)</t>
        </is>
      </c>
      <c r="C7" s="4" t="inlineStr">
        <is>
          <t>—</t>
        </is>
      </c>
      <c r="D7" s="4" t="inlineStr"/>
      <c r="E7" s="4" t="inlineStr"/>
    </row>
    <row r="8" ht="36" customHeight="1">
      <c r="A8" s="4" t="inlineStr">
        <is>
          <t>М. Сотрудник 21</t>
        </is>
      </c>
      <c r="B8" s="4" t="inlineStr">
        <is>
          <t>Нач. АУ №2 (~322 га)</t>
        </is>
      </c>
      <c r="C8" s="4" t="inlineStr">
        <is>
          <t>—</t>
        </is>
      </c>
      <c r="D8" s="4" t="inlineStr"/>
      <c r="E8" s="4" t="inlineStr"/>
    </row>
    <row r="9" ht="36" customHeight="1">
      <c r="A9" s="4" t="inlineStr">
        <is>
          <t>Р. Сотрудник 23</t>
        </is>
      </c>
      <c r="B9" s="4" t="inlineStr">
        <is>
          <t>Нач. АУ №3</t>
        </is>
      </c>
      <c r="C9" s="4" t="inlineStr">
        <is>
          <t>—</t>
        </is>
      </c>
      <c r="D9" s="4" t="inlineStr">
        <is>
          <t>НЕ ПОДПИСАЛ</t>
        </is>
      </c>
      <c r="E9" s="4" t="inlineStr"/>
    </row>
    <row r="10" ht="36" customHeight="1">
      <c r="A10" s="4" t="inlineStr">
        <is>
          <t>А. Сотрудник 03</t>
        </is>
      </c>
      <c r="B10" s="4" t="inlineStr">
        <is>
          <t>Нач. АУ №4</t>
        </is>
      </c>
      <c r="C10" s="4" t="inlineStr">
        <is>
          <t>—</t>
        </is>
      </c>
      <c r="D10" s="4" t="inlineStr"/>
      <c r="E10" s="4" t="inlineStr"/>
    </row>
    <row r="13">
      <c r="A13" t="inlineStr">
        <is>
          <t>Пояснение</t>
        </is>
      </c>
    </row>
    <row r="14">
      <c r="A14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5"/>
    <row r="16"/>
  </sheetData>
  <autoFilter ref="A1:E10"/>
  <mergeCells count="1">
    <mergeCell ref="A14:E16"/>
  </mergeCells>
  <pageMargins left="0.75" right="0.75" top="1" bottom="1" header="0.5" footer="0.5"/>
  <pageSetup orientation="landscape" paperSize="9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(Должность)</t>
        </is>
      </c>
      <c r="B1" s="3" t="inlineStr">
        <is>
          <t>B (ФИО)</t>
        </is>
      </c>
      <c r="C1" s="3" t="inlineStr">
        <is>
          <t>C (Агроучасток / Зона)</t>
        </is>
      </c>
      <c r="D1" s="3" t="inlineStr">
        <is>
          <t>D (Площадь, га)</t>
        </is>
      </c>
      <c r="E1" s="3" t="inlineStr">
        <is>
          <t>E (Тариф 2026)</t>
        </is>
      </c>
      <c r="F1" s="3" t="inlineStr">
        <is>
          <t>F (Расценка Мех)</t>
        </is>
      </c>
      <c r="G1" s="3" t="inlineStr">
        <is>
          <t>G (Расценка Ручн)</t>
        </is>
      </c>
      <c r="H1" s="3" t="inlineStr">
        <is>
          <t>H (Конфликт интересов)</t>
        </is>
      </c>
      <c r="I1" s="3" t="inlineStr">
        <is>
          <t>I (Уровень риска)</t>
        </is>
      </c>
      <c r="J1" s="3" t="inlineStr">
        <is>
          <t>J (Меры контроля)</t>
        </is>
      </c>
      <c r="K1" s="3" t="inlineStr">
        <is>
          <t>K (Статус)</t>
        </is>
      </c>
    </row>
    <row r="2" ht="36" customHeight="1">
      <c r="A2" s="4" t="inlineStr">
        <is>
          <t>Директор</t>
        </is>
      </c>
      <c r="B2" s="4" t="inlineStr">
        <is>
          <t>Сотрудник 12</t>
        </is>
      </c>
      <c r="C2" s="4" t="inlineStr">
        <is>
          <t>Хозяйство в целом</t>
        </is>
      </c>
      <c r="D2" s="5" t="n">
        <v>1350</v>
      </c>
      <c r="E2" s="4" t="inlineStr"/>
      <c r="F2" s="4" t="inlineStr"/>
      <c r="G2" s="4" t="inlineStr"/>
      <c r="H2" s="4" t="inlineStr">
        <is>
          <t>Нет</t>
        </is>
      </c>
      <c r="I2" s="4" t="inlineStr">
        <is>
          <t>НИЗКИЙ</t>
        </is>
      </c>
      <c r="J2" s="4" t="inlineStr">
        <is>
          <t>Плановый контроль</t>
        </is>
      </c>
      <c r="K2" s="4" t="inlineStr">
        <is>
          <t>ПОЛОЖИТЕЛЬНЫЙ ЭФФЕКТ</t>
        </is>
      </c>
    </row>
    <row r="3" ht="36" customHeight="1">
      <c r="A3" s="4" t="inlineStr">
        <is>
          <t>Зам. по произв.</t>
        </is>
      </c>
      <c r="B3" s="4" t="inlineStr">
        <is>
          <t>Сотрудник 10</t>
        </is>
      </c>
      <c r="C3" s="4" t="inlineStr">
        <is>
          <t>Полевой сектор</t>
        </is>
      </c>
      <c r="D3" s="5" t="n">
        <v>1350</v>
      </c>
      <c r="E3" s="4" t="inlineStr"/>
      <c r="F3" s="4" t="inlineStr"/>
      <c r="G3" s="4" t="inlineStr"/>
      <c r="H3" s="4" t="inlineStr">
        <is>
          <t>Нет</t>
        </is>
      </c>
      <c r="I3" s="4" t="inlineStr">
        <is>
          <t>НИЗКИЙ</t>
        </is>
      </c>
      <c r="J3" s="4" t="inlineStr">
        <is>
          <t>Оперативный контроль</t>
        </is>
      </c>
      <c r="K3" s="4" t="inlineStr">
        <is>
          <t>ПОЛОЖИТЕЛЬНЫЙ ЭФФЕКТ</t>
        </is>
      </c>
    </row>
    <row r="4" ht="36" customHeight="1">
      <c r="A4" s="4" t="inlineStr">
        <is>
          <t>Гл. бухгалтер</t>
        </is>
      </c>
      <c r="B4" s="4" t="inlineStr">
        <is>
          <t>Сотрудник 05</t>
        </is>
      </c>
      <c r="C4" s="4" t="inlineStr">
        <is>
          <t>Финансы / Бухучёт</t>
        </is>
      </c>
      <c r="D4" s="5" t="n">
        <v>1350</v>
      </c>
      <c r="E4" s="4" t="inlineStr"/>
      <c r="F4" s="4" t="inlineStr"/>
      <c r="G4" s="4" t="inlineStr"/>
      <c r="H4" s="4" t="inlineStr">
        <is>
          <t>Нет рисков</t>
        </is>
      </c>
      <c r="I4" s="4" t="inlineStr">
        <is>
          <t>НИЗКИЙ</t>
        </is>
      </c>
      <c r="J4" s="4" t="inlineStr">
        <is>
          <t>Внешний аудит</t>
        </is>
      </c>
      <c r="K4" s="4" t="inlineStr">
        <is>
          <t>ПОЛОЖИТЕЛЬНЫЙ ЭФФЕКТ</t>
        </is>
      </c>
    </row>
    <row r="5" ht="36" customHeight="1">
      <c r="A5" s="4" t="inlineStr">
        <is>
          <t>Гл. агроном</t>
        </is>
      </c>
      <c r="B5" s="4" t="inlineStr">
        <is>
          <t>Сотрудник 07</t>
        </is>
      </c>
      <c r="C5" s="4" t="inlineStr">
        <is>
          <t>Технология / Сев</t>
        </is>
      </c>
      <c r="D5" s="5" t="n">
        <v>1350</v>
      </c>
      <c r="E5" s="4" t="inlineStr"/>
      <c r="F5" s="4" t="inlineStr"/>
      <c r="G5" s="4" t="inlineStr"/>
      <c r="H5" s="4" t="inlineStr">
        <is>
          <t>Нет рисков</t>
        </is>
      </c>
      <c r="I5" s="4" t="inlineStr">
        <is>
          <t>НИЗКИЙ</t>
        </is>
      </c>
      <c r="J5" s="4" t="inlineStr">
        <is>
          <t>Биоучёт полей</t>
        </is>
      </c>
      <c r="K5" s="4" t="inlineStr">
        <is>
          <t>ПОЛОЖИТЕЛЬНЫЙ ЭФФЕКТ</t>
        </is>
      </c>
    </row>
    <row r="6" ht="36" customHeight="1">
      <c r="A6" s="4" t="inlineStr">
        <is>
          <t>Нач. АУ-1</t>
        </is>
      </c>
      <c r="B6" s="4" t="inlineStr">
        <is>
          <t>С. Сотрудник 15</t>
        </is>
      </c>
      <c r="C6" s="4" t="inlineStr">
        <is>
          <t>Агроучасток №1</t>
        </is>
      </c>
      <c r="D6" s="5" t="n">
        <v>287</v>
      </c>
      <c r="E6" s="4" t="inlineStr">
        <is>
          <t>—</t>
        </is>
      </c>
      <c r="F6" s="4" t="inlineStr"/>
      <c r="G6" s="4" t="inlineStr"/>
      <c r="H6" s="4" t="inlineStr">
        <is>
          <t>Нет</t>
        </is>
      </c>
      <c r="I6" s="4" t="inlineStr">
        <is>
          <t>НИЗКИЙ</t>
        </is>
      </c>
      <c r="J6" s="4" t="inlineStr">
        <is>
          <t>Сверка весовой</t>
        </is>
      </c>
      <c r="K6" s="4" t="inlineStr">
        <is>
          <t>ПОЛОЖИТЕЛЬНЫЙ ЭФФЕКТ</t>
        </is>
      </c>
    </row>
    <row r="7" ht="36" customHeight="1">
      <c r="A7" s="4" t="inlineStr">
        <is>
          <t>Нач. АУ-2</t>
        </is>
      </c>
      <c r="B7" s="4" t="inlineStr">
        <is>
          <t>М. Сотрудник 21</t>
        </is>
      </c>
      <c r="C7" s="4" t="inlineStr">
        <is>
          <t>Агроучасток №2</t>
        </is>
      </c>
      <c r="D7" s="5" t="n">
        <v>322</v>
      </c>
      <c r="E7" s="4" t="inlineStr">
        <is>
          <t>—</t>
        </is>
      </c>
      <c r="F7" s="4" t="inlineStr"/>
      <c r="G7" s="4" t="inlineStr"/>
      <c r="H7" s="4" t="inlineStr">
        <is>
          <t>Нет</t>
        </is>
      </c>
      <c r="I7" s="4" t="inlineStr">
        <is>
          <t>НИЗКИЙ</t>
        </is>
      </c>
      <c r="J7" s="4" t="inlineStr">
        <is>
          <t>Сверка весовой</t>
        </is>
      </c>
      <c r="K7" s="4" t="inlineStr">
        <is>
          <t>ПОЛОЖИТЕЛЬНЫЙ ЭФФЕКТ</t>
        </is>
      </c>
    </row>
    <row r="8" ht="36" customHeight="1">
      <c r="A8" s="4" t="inlineStr">
        <is>
          <t>Нач. АУ-3</t>
        </is>
      </c>
      <c r="B8" s="4" t="inlineStr">
        <is>
          <t>Р. Сотрудник 23</t>
        </is>
      </c>
      <c r="C8" s="4" t="inlineStr">
        <is>
          <t>Агроучасток №3</t>
        </is>
      </c>
      <c r="D8" s="5" t="n">
        <v>300</v>
      </c>
      <c r="E8" s="4" t="inlineStr">
        <is>
          <t>—</t>
        </is>
      </c>
      <c r="F8" s="4" t="inlineStr">
        <is>
          <t>ОТКАЗ</t>
        </is>
      </c>
      <c r="G8" s="4" t="inlineStr"/>
      <c r="H8" s="4" t="inlineStr">
        <is>
          <t>Юр. риск</t>
        </is>
      </c>
      <c r="I8" s="4" t="inlineStr">
        <is>
          <t>КРИТИЧЕСКИЙ</t>
        </is>
      </c>
      <c r="J8" s="4" t="inlineStr">
        <is>
          <t>Запрос объяснения</t>
        </is>
      </c>
      <c r="K8" s="4" t="inlineStr">
        <is>
          <t>НЕ ПОДПИСАНО</t>
        </is>
      </c>
    </row>
    <row r="9" ht="36" customHeight="1">
      <c r="A9" s="4" t="inlineStr">
        <is>
          <t>Нач. АУ-4</t>
        </is>
      </c>
      <c r="B9" s="4" t="inlineStr">
        <is>
          <t>А. Сотрудник 03</t>
        </is>
      </c>
      <c r="C9" s="4" t="inlineStr">
        <is>
          <t>Агроучасток №4</t>
        </is>
      </c>
      <c r="D9" s="5" t="n">
        <v>250</v>
      </c>
      <c r="E9" s="4" t="inlineStr">
        <is>
          <t>—</t>
        </is>
      </c>
      <c r="F9" s="4" t="inlineStr"/>
      <c r="G9" s="4" t="inlineStr"/>
      <c r="H9" s="4" t="inlineStr">
        <is>
          <t>Совмещение ролей</t>
        </is>
      </c>
      <c r="I9" s="4" t="inlineStr">
        <is>
          <t>КРИТИЧЕСКИЙ</t>
        </is>
      </c>
      <c r="J9" s="4" t="inlineStr">
        <is>
          <t>Независимая приёмка</t>
        </is>
      </c>
      <c r="K9" s="4" t="inlineStr">
        <is>
          <t>КОНФЛИКТ</t>
        </is>
      </c>
    </row>
    <row r="12">
      <c r="A12" t="inlineStr">
        <is>
          <t>Пояснение</t>
        </is>
      </c>
    </row>
    <row r="13">
      <c r="A13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4"/>
    <row r="15"/>
  </sheetData>
  <autoFilter ref="A1:K9"/>
  <mergeCells count="1">
    <mergeCell ref="A13:K15"/>
  </mergeCells>
  <pageMargins left="0.75" right="0.75" top="1" bottom="1" header="0.5" footer="0.5"/>
  <pageSetup orientation="landscape" paperSize="9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(Должность)</t>
        </is>
      </c>
      <c r="B1" s="3" t="inlineStr">
        <is>
          <t>B (ФИО)</t>
        </is>
      </c>
      <c r="C1" s="3" t="inlineStr">
        <is>
          <t>C (Зона)</t>
        </is>
      </c>
      <c r="D1" s="3" t="inlineStr">
        <is>
          <t>D (Площадь)</t>
        </is>
      </c>
      <c r="E1" s="3" t="inlineStr">
        <is>
          <t>E (Тариф)</t>
        </is>
      </c>
      <c r="F1" s="3" t="inlineStr">
        <is>
          <t>F (Мех)</t>
        </is>
      </c>
      <c r="G1" s="3" t="inlineStr">
        <is>
          <t>G (Ручн)</t>
        </is>
      </c>
      <c r="H1" s="3" t="inlineStr">
        <is>
          <t>H (Конфликт)</t>
        </is>
      </c>
      <c r="I1" s="3" t="inlineStr">
        <is>
          <t>I (Риск)</t>
        </is>
      </c>
      <c r="J1" s="3" t="inlineStr">
        <is>
          <t>J (Меры)</t>
        </is>
      </c>
      <c r="K1" s="3" t="inlineStr">
        <is>
          <t>K (Статус)</t>
        </is>
      </c>
    </row>
    <row r="2" ht="36" customHeight="1">
      <c r="A2" s="4" t="inlineStr">
        <is>
          <t>Директор</t>
        </is>
      </c>
      <c r="B2" s="4" t="inlineStr">
        <is>
          <t>Сотрудник 12</t>
        </is>
      </c>
      <c r="C2" s="4" t="inlineStr">
        <is>
          <t>Хозяйство</t>
        </is>
      </c>
      <c r="D2" s="5" t="n">
        <v>1350</v>
      </c>
      <c r="E2" s="4" t="inlineStr"/>
      <c r="F2" s="4" t="inlineStr"/>
      <c r="G2" s="4" t="inlineStr"/>
      <c r="H2" s="4" t="inlineStr">
        <is>
          <t>Нет</t>
        </is>
      </c>
      <c r="I2" s="4" t="inlineStr">
        <is>
          <t>НИЗКИЙ</t>
        </is>
      </c>
      <c r="J2" s="4" t="inlineStr">
        <is>
          <t>Мониторинг</t>
        </is>
      </c>
      <c r="K2" s="4" t="inlineStr">
        <is>
          <t>ПОЛОЖИТЕЛЬНЫЙ ЭФФЕКТ</t>
        </is>
      </c>
    </row>
    <row r="3" ht="36" customHeight="1">
      <c r="A3" s="4" t="inlineStr">
        <is>
          <t>Зам. по произв.</t>
        </is>
      </c>
      <c r="B3" s="4" t="inlineStr">
        <is>
          <t>Сотрудник 10</t>
        </is>
      </c>
      <c r="C3" s="4" t="inlineStr">
        <is>
          <t>Поля</t>
        </is>
      </c>
      <c r="D3" s="5" t="n">
        <v>1350</v>
      </c>
      <c r="E3" s="4" t="inlineStr"/>
      <c r="F3" s="4" t="inlineStr"/>
      <c r="G3" s="4" t="inlineStr"/>
      <c r="H3" s="4" t="inlineStr">
        <is>
          <t>Нет</t>
        </is>
      </c>
      <c r="I3" s="4" t="inlineStr">
        <is>
          <t>НИЗКИЙ</t>
        </is>
      </c>
      <c r="J3" s="4" t="inlineStr">
        <is>
          <t>Оперативный</t>
        </is>
      </c>
      <c r="K3" s="4" t="inlineStr">
        <is>
          <t>ПОЛОЖИТЕЛЬНЫЙ ЭФФЕКТ</t>
        </is>
      </c>
    </row>
    <row r="4" ht="36" customHeight="1">
      <c r="A4" s="4" t="inlineStr">
        <is>
          <t>Гл. бухгалтер</t>
        </is>
      </c>
      <c r="B4" s="4" t="inlineStr">
        <is>
          <t>Сотрудник 05</t>
        </is>
      </c>
      <c r="C4" s="4" t="inlineStr">
        <is>
          <t>Бухучёт</t>
        </is>
      </c>
      <c r="D4" s="5" t="n">
        <v>1350</v>
      </c>
      <c r="E4" s="4" t="inlineStr"/>
      <c r="F4" s="4" t="inlineStr"/>
      <c r="G4" s="4" t="inlineStr"/>
      <c r="H4" s="4" t="inlineStr">
        <is>
          <t>Нет</t>
        </is>
      </c>
      <c r="I4" s="4" t="inlineStr">
        <is>
          <t>НИЗКИЙ</t>
        </is>
      </c>
      <c r="J4" s="4" t="inlineStr">
        <is>
          <t>Внешний аудит</t>
        </is>
      </c>
      <c r="K4" s="4" t="inlineStr">
        <is>
          <t>ПОЛОЖИТЕЛЬНЫЙ ЭФФЕКТ</t>
        </is>
      </c>
    </row>
    <row r="5" ht="36" customHeight="1">
      <c r="A5" s="4" t="inlineStr">
        <is>
          <t>Гл. агроном</t>
        </is>
      </c>
      <c r="B5" s="4" t="inlineStr">
        <is>
          <t>Сотрудник 07</t>
        </is>
      </c>
      <c r="C5" s="4" t="inlineStr">
        <is>
          <t>Технология</t>
        </is>
      </c>
      <c r="D5" s="5" t="n">
        <v>1350</v>
      </c>
      <c r="E5" s="4" t="inlineStr"/>
      <c r="F5" s="4" t="inlineStr"/>
      <c r="G5" s="4" t="inlineStr"/>
      <c r="H5" s="4" t="inlineStr">
        <is>
          <t>Нет</t>
        </is>
      </c>
      <c r="I5" s="4" t="inlineStr">
        <is>
          <t>НИЗКИЙ</t>
        </is>
      </c>
      <c r="J5" s="4" t="inlineStr">
        <is>
          <t>Биоучёт</t>
        </is>
      </c>
      <c r="K5" s="4" t="inlineStr">
        <is>
          <t>ПОЛОЖИТЕЛЬНЫЙ ЭФФЕКТ</t>
        </is>
      </c>
    </row>
    <row r="6" ht="36" customHeight="1">
      <c r="A6" s="4" t="inlineStr">
        <is>
          <t>Нач. АУ-1</t>
        </is>
      </c>
      <c r="B6" s="4" t="inlineStr">
        <is>
          <t>С. Сотрудник 15</t>
        </is>
      </c>
      <c r="C6" s="4" t="inlineStr">
        <is>
          <t>АУ №1</t>
        </is>
      </c>
      <c r="D6" s="5" t="n">
        <v>287</v>
      </c>
      <c r="E6" s="4" t="inlineStr">
        <is>
          <t>—</t>
        </is>
      </c>
      <c r="F6" s="4" t="inlineStr"/>
      <c r="G6" s="4" t="inlineStr"/>
      <c r="H6" s="4" t="inlineStr">
        <is>
          <t>Нет</t>
        </is>
      </c>
      <c r="I6" s="4" t="inlineStr">
        <is>
          <t>НИЗКИЙ</t>
        </is>
      </c>
      <c r="J6" s="4" t="inlineStr">
        <is>
          <t>Сверка весовой</t>
        </is>
      </c>
      <c r="K6" s="4" t="inlineStr">
        <is>
          <t>ПОЛОЖИТЕЛЬНЫЙ ЭФФЕКТ</t>
        </is>
      </c>
    </row>
    <row r="7" ht="36" customHeight="1">
      <c r="A7" s="4" t="inlineStr">
        <is>
          <t>Нач. АУ-2</t>
        </is>
      </c>
      <c r="B7" s="4" t="inlineStr">
        <is>
          <t>М. Сотрудник 21</t>
        </is>
      </c>
      <c r="C7" s="4" t="inlineStr">
        <is>
          <t>АУ №2</t>
        </is>
      </c>
      <c r="D7" s="5" t="n">
        <v>322</v>
      </c>
      <c r="E7" s="4" t="inlineStr">
        <is>
          <t>—</t>
        </is>
      </c>
      <c r="F7" s="4" t="inlineStr"/>
      <c r="G7" s="4" t="inlineStr"/>
      <c r="H7" s="4" t="inlineStr">
        <is>
          <t>Нет</t>
        </is>
      </c>
      <c r="I7" s="4" t="inlineStr">
        <is>
          <t>НИЗКИЙ</t>
        </is>
      </c>
      <c r="J7" s="4" t="inlineStr">
        <is>
          <t>Сверка весовой</t>
        </is>
      </c>
      <c r="K7" s="4" t="inlineStr">
        <is>
          <t>ПОЛОЖИТЕЛЬНЫЙ ЭФФЕКТ</t>
        </is>
      </c>
    </row>
    <row r="8" ht="36" customHeight="1">
      <c r="A8" s="4" t="inlineStr">
        <is>
          <t>Нач. АУ-3</t>
        </is>
      </c>
      <c r="B8" s="4" t="inlineStr">
        <is>
          <t>Р. Сотрудник 23</t>
        </is>
      </c>
      <c r="C8" s="4" t="inlineStr">
        <is>
          <t>АУ №3</t>
        </is>
      </c>
      <c r="D8" s="5" t="n">
        <v>300</v>
      </c>
      <c r="E8" s="4" t="inlineStr">
        <is>
          <t>—</t>
        </is>
      </c>
      <c r="F8" s="4" t="inlineStr">
        <is>
          <t>ОТКАЗ</t>
        </is>
      </c>
      <c r="G8" s="4" t="inlineStr"/>
      <c r="H8" s="4" t="inlineStr">
        <is>
          <t>Юр. риск</t>
        </is>
      </c>
      <c r="I8" s="4" t="inlineStr">
        <is>
          <t>КРИТИЧЕСКИЙ</t>
        </is>
      </c>
      <c r="J8" s="4" t="inlineStr">
        <is>
          <t>Запрос объяснения</t>
        </is>
      </c>
      <c r="K8" s="4" t="inlineStr">
        <is>
          <t>НЕ ПОДПИСАНО</t>
        </is>
      </c>
    </row>
    <row r="9" ht="36" customHeight="1">
      <c r="A9" s="4" t="inlineStr">
        <is>
          <t>Нач. АУ-4</t>
        </is>
      </c>
      <c r="B9" s="4" t="inlineStr">
        <is>
          <t>А. Сотрудник 03</t>
        </is>
      </c>
      <c r="C9" s="4" t="inlineStr">
        <is>
          <t>АУ №4</t>
        </is>
      </c>
      <c r="D9" s="5" t="n">
        <v>250</v>
      </c>
      <c r="E9" s="4" t="inlineStr">
        <is>
          <t>—</t>
        </is>
      </c>
      <c r="F9" s="4" t="inlineStr"/>
      <c r="G9" s="4" t="inlineStr"/>
      <c r="H9" s="4" t="inlineStr">
        <is>
          <t>Совмещение ролей</t>
        </is>
      </c>
      <c r="I9" s="4" t="inlineStr">
        <is>
          <t>КРИТИЧЕСКИЙ</t>
        </is>
      </c>
      <c r="J9" s="4" t="inlineStr">
        <is>
          <t>Независимая приёмка</t>
        </is>
      </c>
      <c r="K9" s="4" t="inlineStr">
        <is>
          <t>КОНФЛИКТ</t>
        </is>
      </c>
    </row>
    <row r="12">
      <c r="A12" t="inlineStr">
        <is>
          <t>Пояснение</t>
        </is>
      </c>
    </row>
    <row r="13">
      <c r="A13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4"/>
    <row r="15"/>
  </sheetData>
  <autoFilter ref="A1:K9"/>
  <mergeCells count="1">
    <mergeCell ref="A13:K15"/>
  </mergeCells>
  <pageMargins left="0.75" right="0.75" top="1" bottom="1" header="0.5" footer="0.5"/>
  <pageSetup orientation="landscape" paperSize="9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(Сценарий)</t>
        </is>
      </c>
      <c r="B1" s="3" t="inlineStr">
        <is>
          <t>B (Тариф ЗП, сом)</t>
        </is>
      </c>
      <c r="C1" s="3" t="inlineStr">
        <is>
          <t>C (ФОТ ручн, сом)</t>
        </is>
      </c>
      <c r="D1" s="3" t="inlineStr">
        <is>
          <t>D (VC всего, сом)</t>
        </is>
      </c>
      <c r="E1" s="3" t="inlineStr">
        <is>
          <t>E (Цена, сом/кг)</t>
        </is>
      </c>
      <c r="F1" s="3" t="inlineStr">
        <is>
          <t>F (Урожай, ц/га)</t>
        </is>
      </c>
      <c r="G1" s="3" t="inlineStr">
        <is>
          <t>G (Выручка, сом)</t>
        </is>
      </c>
      <c r="H1" s="3" t="inlineStr">
        <is>
          <t>H (Маржа, сом)</t>
        </is>
      </c>
      <c r="I1" s="3" t="inlineStr">
        <is>
          <t>I (ТБУ, ц/га)</t>
        </is>
      </c>
      <c r="J1" s="3" t="inlineStr">
        <is>
          <t>J (Статус ТБУ)</t>
        </is>
      </c>
      <c r="K1" s="3" t="inlineStr">
        <is>
          <t>K (Решение)</t>
        </is>
      </c>
    </row>
    <row r="2" ht="36" customHeight="1">
      <c r="A2" s="4" t="inlineStr">
        <is>
          <t>2025 Базовый</t>
        </is>
      </c>
      <c r="B2" s="5" t="n">
        <v>600</v>
      </c>
      <c r="C2" s="5" t="n">
        <v>1900</v>
      </c>
      <c r="D2" s="5" t="n">
        <v>10450</v>
      </c>
      <c r="E2" s="5" t="n">
        <v>6</v>
      </c>
      <c r="F2" s="5" t="n">
        <v>30</v>
      </c>
      <c r="G2" s="5" t="n">
        <v>18000</v>
      </c>
      <c r="H2" s="7">
        <f>G2-D2</f>
        <v>7550.0</v>
      </c>
      <c r="I2" s="7">
        <f>D2/(E2*100)</f>
        <v>17.416666666666668</v>
      </c>
      <c r="J2" s="4" t="inlineStr">
        <is>
          <t>БЕЗОПАСНО</t>
        </is>
      </c>
      <c r="K2" s="4" t="inlineStr">
        <is>
          <t>Базовый план</t>
        </is>
      </c>
    </row>
    <row r="3" ht="36" customHeight="1">
      <c r="A3" s="4" t="inlineStr">
        <is>
          <t>2026 Тариф без премий</t>
        </is>
      </c>
      <c r="B3" s="5" t="n">
        <v>1300</v>
      </c>
      <c r="C3" s="5" t="n">
        <v>5076</v>
      </c>
      <c r="D3" s="5" t="n">
        <v>14300</v>
      </c>
      <c r="E3" s="5" t="n">
        <v>6.5</v>
      </c>
      <c r="F3" s="5" t="n">
        <v>30</v>
      </c>
      <c r="G3" s="5" t="n">
        <v>19500</v>
      </c>
      <c r="H3" s="7">
        <f>G3-D3</f>
        <v>5200.0</v>
      </c>
      <c r="I3" s="7">
        <f>D3/(E3*100)</f>
        <v>22.0</v>
      </c>
      <c r="J3" s="4" t="inlineStr">
        <is>
          <t>ВЫСОКИЙ ПОРОГ</t>
        </is>
      </c>
      <c r="K3" s="4" t="inlineStr">
        <is>
          <t>Контроль норм</t>
        </is>
      </c>
    </row>
    <row r="4" ht="36" customHeight="1">
      <c r="A4" s="4" t="inlineStr">
        <is>
          <t>2026 Тариф с премиями</t>
        </is>
      </c>
      <c r="B4" s="5" t="n">
        <v>1300</v>
      </c>
      <c r="C4" s="5" t="n">
        <v>5584</v>
      </c>
      <c r="D4" s="5" t="n">
        <v>14800</v>
      </c>
      <c r="E4" s="5" t="n">
        <v>6.5</v>
      </c>
      <c r="F4" s="5" t="n">
        <v>30</v>
      </c>
      <c r="G4" s="5" t="n">
        <v>19500</v>
      </c>
      <c r="H4" s="7">
        <f>G4-D4</f>
        <v>4700.0</v>
      </c>
      <c r="I4" s="7">
        <f>D4/(E4*100)</f>
        <v>22.76923076923077</v>
      </c>
      <c r="J4" s="4" t="inlineStr">
        <is>
          <t>ВЫСОКИЙ ПОРОГ</t>
        </is>
      </c>
      <c r="K4" s="4" t="inlineStr">
        <is>
          <t>Сводный план</t>
        </is>
      </c>
    </row>
    <row r="5" ht="36" customHeight="1">
      <c r="A5" s="4" t="inlineStr">
        <is>
          <t>2026 Факт 2025 (Стресс)</t>
        </is>
      </c>
      <c r="B5" s="5" t="n">
        <v>1300</v>
      </c>
      <c r="C5" s="5" t="n">
        <v>5584</v>
      </c>
      <c r="D5" s="5" t="n">
        <v>14800</v>
      </c>
      <c r="E5" s="5" t="n">
        <v>6.5</v>
      </c>
      <c r="F5" s="5" t="n">
        <v>18</v>
      </c>
      <c r="G5" s="5" t="n">
        <v>11700</v>
      </c>
      <c r="H5" s="7">
        <f>G5-D5</f>
        <v>-3100.0</v>
      </c>
      <c r="I5" s="7">
        <f>D5/(E5*100)</f>
        <v>22.76923076923077</v>
      </c>
      <c r="J5" s="4" t="inlineStr">
        <is>
          <t>УБЫТОК</t>
        </is>
      </c>
      <c r="K5" s="4" t="inlineStr">
        <is>
          <t>УВЕЛИЧИТЬ УРОЖАЙ</t>
        </is>
      </c>
    </row>
    <row r="6" ht="36" customHeight="1">
      <c r="A6" s="4" t="inlineStr">
        <is>
          <t>СРЕДНЕЕ (простое, не медиана)</t>
        </is>
      </c>
      <c r="B6" s="4" t="inlineStr">
        <is>
          <t>—</t>
        </is>
      </c>
      <c r="C6" s="4" t="inlineStr">
        <is>
          <t>—</t>
        </is>
      </c>
      <c r="D6" s="7">
        <f>AVERAGE(D2:D5)</f>
        <v>13587.5</v>
      </c>
      <c r="E6" s="7">
        <f>AVERAGE(E2:E5)</f>
        <v>6.375</v>
      </c>
      <c r="F6" s="7">
        <f>AVERAGE(F2:F5)</f>
        <v>27.0</v>
      </c>
      <c r="G6" s="7">
        <f>AVERAGE(G2:G5)</f>
        <v>17175.0</v>
      </c>
      <c r="H6" s="7">
        <f>AVERAGE(H2:H5)</f>
        <v>3587.5</v>
      </c>
      <c r="I6" s="7">
        <f>AVERAGE(I2:I5)</f>
        <v>21.23878205128205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(Сценарий)</t>
        </is>
      </c>
      <c r="B1" s="3" t="inlineStr">
        <is>
          <t>B (Тариф)</t>
        </is>
      </c>
      <c r="C1" s="3" t="inlineStr">
        <is>
          <t>C (ФОТ)</t>
        </is>
      </c>
      <c r="D1" s="3" t="inlineStr">
        <is>
          <t>D (VC)</t>
        </is>
      </c>
      <c r="E1" s="3" t="inlineStr">
        <is>
          <t>E (Цена)</t>
        </is>
      </c>
      <c r="F1" s="3" t="inlineStr">
        <is>
          <t>F (Урожай)</t>
        </is>
      </c>
      <c r="G1" s="3" t="inlineStr">
        <is>
          <t>G (Выручка)</t>
        </is>
      </c>
      <c r="H1" s="3" t="inlineStr">
        <is>
          <t>H (Маржа)</t>
        </is>
      </c>
      <c r="I1" s="3" t="inlineStr">
        <is>
          <t>I (ТБУ)</t>
        </is>
      </c>
      <c r="J1" s="3" t="inlineStr">
        <is>
          <t>J (Статус)</t>
        </is>
      </c>
      <c r="K1" s="3" t="inlineStr">
        <is>
          <t>K (Решение)</t>
        </is>
      </c>
    </row>
    <row r="2" ht="36" customHeight="1">
      <c r="A2" s="4" t="inlineStr">
        <is>
          <t>2025 Базовый</t>
        </is>
      </c>
      <c r="B2" s="5" t="n">
        <v>600</v>
      </c>
      <c r="C2" s="5" t="n">
        <v>1900</v>
      </c>
      <c r="D2" s="5" t="n">
        <v>10450</v>
      </c>
      <c r="E2" s="5" t="n">
        <v>6</v>
      </c>
      <c r="F2" s="5" t="n">
        <v>30</v>
      </c>
      <c r="G2" s="7">
        <f>F2*100*E2</f>
        <v>18000.0</v>
      </c>
      <c r="H2" s="7">
        <f>G2-D2</f>
        <v>7550.0</v>
      </c>
      <c r="I2" s="7">
        <f>D2/(E2*100)</f>
        <v>17.416666666666668</v>
      </c>
      <c r="J2" s="4" t="inlineStr">
        <is>
          <t>БЕЗОПАСНО</t>
        </is>
      </c>
      <c r="K2" s="4" t="inlineStr">
        <is>
          <t>Базовый план</t>
        </is>
      </c>
    </row>
    <row r="3" ht="36" customHeight="1">
      <c r="A3" s="4" t="inlineStr">
        <is>
          <t>2026 Тариф без премий</t>
        </is>
      </c>
      <c r="B3" s="5" t="n">
        <v>1300</v>
      </c>
      <c r="C3" s="5" t="n">
        <v>5076</v>
      </c>
      <c r="D3" s="5" t="n">
        <v>14300</v>
      </c>
      <c r="E3" s="5" t="n">
        <v>6.5</v>
      </c>
      <c r="F3" s="5" t="n">
        <v>30</v>
      </c>
      <c r="G3" s="7">
        <f>F3*100*E3</f>
        <v>19500.0</v>
      </c>
      <c r="H3" s="7">
        <f>G3-D3</f>
        <v>5200.0</v>
      </c>
      <c r="I3" s="7">
        <f>D3/(E3*100)</f>
        <v>22.0</v>
      </c>
      <c r="J3" s="4" t="inlineStr">
        <is>
          <t>ВЫСОКИЙ ПОРОГ</t>
        </is>
      </c>
      <c r="K3" s="4" t="inlineStr">
        <is>
          <t>Контроль норм</t>
        </is>
      </c>
    </row>
    <row r="4" ht="36" customHeight="1">
      <c r="A4" s="4" t="inlineStr">
        <is>
          <t>2026 Тариф с премиями</t>
        </is>
      </c>
      <c r="B4" s="5" t="n">
        <v>1300</v>
      </c>
      <c r="C4" s="5" t="n">
        <v>5584</v>
      </c>
      <c r="D4" s="5" t="n">
        <v>14800</v>
      </c>
      <c r="E4" s="5" t="n">
        <v>6.5</v>
      </c>
      <c r="F4" s="5" t="n">
        <v>30</v>
      </c>
      <c r="G4" s="7">
        <f>F4*100*E4</f>
        <v>19500.0</v>
      </c>
      <c r="H4" s="7">
        <f>G4-D4</f>
        <v>4700.0</v>
      </c>
      <c r="I4" s="7">
        <f>D4/(E4*100)</f>
        <v>22.76923076923077</v>
      </c>
      <c r="J4" s="4" t="inlineStr">
        <is>
          <t>ВЫСОКИЙ ПОРОГ</t>
        </is>
      </c>
      <c r="K4" s="4" t="inlineStr">
        <is>
          <t>Сводный план</t>
        </is>
      </c>
    </row>
    <row r="5" ht="36" customHeight="1">
      <c r="A5" s="4" t="inlineStr">
        <is>
          <t>2026 Факт 2025 (Стресс)</t>
        </is>
      </c>
      <c r="B5" s="5" t="n">
        <v>1300</v>
      </c>
      <c r="C5" s="5" t="n">
        <v>5584</v>
      </c>
      <c r="D5" s="5" t="n">
        <v>14800</v>
      </c>
      <c r="E5" s="5" t="n">
        <v>6.5</v>
      </c>
      <c r="F5" s="5" t="n">
        <v>18</v>
      </c>
      <c r="G5" s="7">
        <f>F5*100*E5</f>
        <v>11700.0</v>
      </c>
      <c r="H5" s="7">
        <f>G5-D5</f>
        <v>-3100.0</v>
      </c>
      <c r="I5" s="7">
        <f>D5/(E5*100)</f>
        <v>22.76923076923077</v>
      </c>
      <c r="J5" s="4" t="inlineStr">
        <is>
          <t>УБЫТОК</t>
        </is>
      </c>
      <c r="K5" s="4" t="inlineStr">
        <is>
          <t>УВЕЛИЧИТЬ УРОЖАЙ</t>
        </is>
      </c>
    </row>
    <row r="6" ht="36" customHeight="1">
      <c r="A6" s="4" t="inlineStr">
        <is>
          <t>СРЕДНЕЕ (простое, не медиана)</t>
        </is>
      </c>
      <c r="B6" s="4" t="inlineStr">
        <is>
          <t>—</t>
        </is>
      </c>
      <c r="C6" s="4" t="inlineStr">
        <is>
          <t>—</t>
        </is>
      </c>
      <c r="D6" s="7">
        <f>AVERAGE(D2:D5)</f>
        <v>13587.5</v>
      </c>
      <c r="E6" s="7">
        <f>AVERAGE(E2:E5)</f>
        <v>6.375</v>
      </c>
      <c r="F6" s="7">
        <f>AVERAGE(F2:F5)</f>
        <v>27.0</v>
      </c>
      <c r="G6" s="7">
        <f>AVERAGE(G2:G5)</f>
        <v>17175.0</v>
      </c>
      <c r="H6" s="7">
        <f>AVERAGE(H2:H5)</f>
        <v>3587.5</v>
      </c>
      <c r="I6" s="7">
        <f>AVERAGE(I2:I5)</f>
        <v>21.23878205128205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Статья затрат</t>
        </is>
      </c>
      <c r="B1" s="3" t="inlineStr">
        <is>
          <t>Норма / расход на 1 га</t>
        </is>
      </c>
      <c r="C1" s="3" t="inlineStr">
        <is>
          <t>Расценка / цена</t>
        </is>
      </c>
      <c r="D1" s="3" t="inlineStr">
        <is>
          <t>Сумма на 1 га, сом</t>
        </is>
      </c>
    </row>
    <row r="2" ht="36" customHeight="1">
      <c r="A2" s="4" t="inlineStr">
        <is>
          <t>Вспашка (ЗП + ГСМ 30 л)</t>
        </is>
      </c>
      <c r="B2" s="4" t="inlineStr">
        <is>
          <t>30 л/га</t>
        </is>
      </c>
      <c r="C2" s="4" t="inlineStr">
        <is>
          <t>51,17 сом. ЗП + 11 сом./л ГСМ</t>
        </is>
      </c>
      <c r="D2" s="5" t="n">
        <v>381.17</v>
      </c>
    </row>
    <row r="3" ht="36" customHeight="1">
      <c r="A3" s="4" t="inlineStr">
        <is>
          <t>Дискование и боронование (ЗП + ГСМ)</t>
        </is>
      </c>
      <c r="B3" s="4" t="inlineStr">
        <is>
          <t>10 л/га</t>
        </is>
      </c>
      <c r="C3" s="4" t="inlineStr">
        <is>
          <t>28,78 сом. ЗП + 11 сом./л ГСМ</t>
        </is>
      </c>
      <c r="D3" s="5" t="n">
        <v>138.78</v>
      </c>
    </row>
    <row r="4" ht="36" customHeight="1">
      <c r="A4" s="4" t="inlineStr">
        <is>
          <t>Нарезка борозд («Чуяк»)</t>
        </is>
      </c>
      <c r="B4" s="4" t="inlineStr">
        <is>
          <t>10 л/га</t>
        </is>
      </c>
      <c r="C4" s="4" t="inlineStr">
        <is>
          <t>100 сом. ЗП + 110 сом. ГСМ</t>
        </is>
      </c>
      <c r="D4" s="5" t="n">
        <v>210</v>
      </c>
    </row>
    <row r="5" ht="36" customHeight="1">
      <c r="A5" s="4" t="inlineStr">
        <is>
          <t>Полив и подготовка</t>
        </is>
      </c>
      <c r="B5" s="4" t="inlineStr">
        <is>
          <t>—</t>
        </is>
      </c>
      <c r="C5" s="4" t="inlineStr">
        <is>
          <t>Тариф за воду</t>
        </is>
      </c>
      <c r="D5" s="5" t="n">
        <v>200</v>
      </c>
    </row>
    <row r="6" ht="36" customHeight="1">
      <c r="A6" s="4" t="inlineStr">
        <is>
          <t>Семена пшеницы</t>
        </is>
      </c>
      <c r="B6" s="4" t="inlineStr">
        <is>
          <t>250 кг/га</t>
        </is>
      </c>
      <c r="C6" s="4" t="inlineStr">
        <is>
          <t>5,5 сомони/кг</t>
        </is>
      </c>
      <c r="D6" s="5" t="n">
        <v>1375</v>
      </c>
    </row>
    <row r="7" ht="36" customHeight="1">
      <c r="A7" s="4" t="inlineStr">
        <is>
          <t>Минеральные удобрения (Карбамид)</t>
        </is>
      </c>
      <c r="B7" s="4" t="inlineStr">
        <is>
          <t>200 кг/га</t>
        </is>
      </c>
      <c r="C7" s="4" t="inlineStr">
        <is>
          <t>5,22 сомони/кг</t>
        </is>
      </c>
      <c r="D7" s="5" t="n">
        <v>1044</v>
      </c>
    </row>
    <row r="8" ht="36" customHeight="1">
      <c r="A8" s="4" t="inlineStr">
        <is>
          <t>Средства защиты растений (Гранстар)</t>
        </is>
      </c>
      <c r="B8" s="4" t="inlineStr">
        <is>
          <t>0,05 л/га</t>
        </is>
      </c>
      <c r="C8" s="4" t="inlineStr">
        <is>
          <t>254,8 сом./л + ОВХ</t>
        </is>
      </c>
      <c r="D8" s="5" t="n">
        <v>102.74</v>
      </c>
    </row>
    <row r="9" ht="36" customHeight="1">
      <c r="A9" s="4" t="inlineStr">
        <is>
          <t>Услуги комбайна (уборка)</t>
        </is>
      </c>
      <c r="B9" s="5" t="n">
        <v>1</v>
      </c>
      <c r="C9" s="4" t="inlineStr">
        <is>
          <t>Тариф подрядчика</t>
        </is>
      </c>
      <c r="D9" s="5" t="n">
        <v>1000</v>
      </c>
    </row>
    <row r="10" ht="36" customHeight="1">
      <c r="A10" s="4" t="inlineStr">
        <is>
          <t>Резерв прочих затрат — учебное допущение</t>
        </is>
      </c>
      <c r="B10" s="4" t="inlineStr">
        <is>
          <t>—</t>
        </is>
      </c>
      <c r="C10" s="4" t="inlineStr">
        <is>
          <t>Разница до модельного бюджета 4700</t>
        </is>
      </c>
      <c r="D10" s="5" t="n">
        <v>248.31</v>
      </c>
    </row>
    <row r="11" ht="36" customHeight="1">
      <c r="A11" s="4" t="inlineStr">
        <is>
          <t>ИТОГО СЕБЕСТОИМОСТЬ 1 ГА</t>
        </is>
      </c>
      <c r="B11" s="4" t="inlineStr">
        <is>
          <t>—</t>
        </is>
      </c>
      <c r="C11" s="4" t="inlineStr">
        <is>
          <t>—</t>
        </is>
      </c>
      <c r="D11" s="5" t="n">
        <v>4700</v>
      </c>
    </row>
    <row r="14">
      <c r="A14" t="inlineStr">
        <is>
          <t>Пояснение</t>
        </is>
      </c>
    </row>
    <row r="15">
      <c r="A15" s="6" t="inlineStr">
        <is>
          <t>Перечисленные расходы дают 4 451,69 сомони/га. Чтобы согласовать последующий модельный бюджет 4 700, добавлен явно обозначенный резерв 248,31. Это допущение для учебного сравнения, не восстановленный первичный расход.</t>
        </is>
      </c>
    </row>
    <row r="16"/>
    <row r="17"/>
  </sheetData>
  <autoFilter ref="A1:D11"/>
  <mergeCells count="1">
    <mergeCell ref="A15:D17"/>
  </mergeCells>
  <pageMargins left="0.75" right="0.75" top="1" bottom="1" header="0.5" footer="0.5"/>
  <pageSetup orientation="landscape" paperSize="9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(Культура)</t>
        </is>
      </c>
      <c r="B1" s="3" t="inlineStr">
        <is>
          <t>B (Площадь, га)</t>
        </is>
      </c>
      <c r="C1" s="3" t="inlineStr">
        <is>
          <t>C (Затраты на га, сом)</t>
        </is>
      </c>
      <c r="D1" s="3" t="inlineStr">
        <is>
          <t>D (Урожай, кг/га)</t>
        </is>
      </c>
      <c r="E1" s="3" t="inlineStr">
        <is>
          <t>E (Себест 1 кг, сом)</t>
        </is>
      </c>
      <c r="F1" s="3" t="inlineStr">
        <is>
          <t>F (Цена, сом/кг)</t>
        </is>
      </c>
      <c r="G1" s="3" t="inlineStr">
        <is>
          <t>G (Выручка, сом)</t>
        </is>
      </c>
      <c r="H1" s="3" t="inlineStr">
        <is>
          <t>H (Маржа на га, сом)</t>
        </is>
      </c>
      <c r="I1" s="3" t="inlineStr">
        <is>
          <t>I (Маржа всего, сом)</t>
        </is>
      </c>
      <c r="J1" s="3" t="inlineStr">
        <is>
          <t>J (Рентабельность, %)</t>
        </is>
      </c>
      <c r="K1" s="3" t="inlineStr">
        <is>
          <t>K (Статус Риска)</t>
        </is>
      </c>
    </row>
    <row r="2" ht="36" customHeight="1">
      <c r="A2" s="4" t="inlineStr">
        <is>
          <t>Пшеница (План)</t>
        </is>
      </c>
      <c r="B2" s="5" t="n">
        <v>189</v>
      </c>
      <c r="C2" s="5" t="n">
        <v>4700</v>
      </c>
      <c r="D2" s="5" t="n">
        <v>2500</v>
      </c>
      <c r="E2" s="7">
        <f>C2/D2</f>
        <v>1.88</v>
      </c>
      <c r="F2" s="5" t="n">
        <v>4</v>
      </c>
      <c r="G2" s="7">
        <f>B2*D2*F2</f>
        <v>1890000.0</v>
      </c>
      <c r="H2" s="7">
        <f>D2*F2-C2</f>
        <v>5300.0</v>
      </c>
      <c r="I2" s="7">
        <f>B2*H2</f>
        <v>1001700.0</v>
      </c>
      <c r="J2" s="8">
        <f>H2/C2</f>
        <v>1.127659574468085</v>
      </c>
      <c r="K2" s="4" t="inlineStr">
        <is>
          <t>ВЫСОКАЯ МАРЖА</t>
        </is>
      </c>
    </row>
    <row r="3" ht="36" customHeight="1">
      <c r="A3" s="4" t="inlineStr">
        <is>
          <t>Пшеница (Факт)</t>
        </is>
      </c>
      <c r="B3" s="5" t="n">
        <v>189</v>
      </c>
      <c r="C3" s="5" t="n">
        <v>4700</v>
      </c>
      <c r="D3" s="5" t="n">
        <v>2300</v>
      </c>
      <c r="E3" s="7">
        <f>C3/D3</f>
        <v>2.0434782608695654</v>
      </c>
      <c r="F3" s="5" t="n">
        <v>4.2</v>
      </c>
      <c r="G3" s="7">
        <f>B3*D3*F3</f>
        <v>1825740.0</v>
      </c>
      <c r="H3" s="7">
        <f>D3*F3-C3</f>
        <v>4960.0</v>
      </c>
      <c r="I3" s="7">
        <f>B3*H3</f>
        <v>937440.0</v>
      </c>
      <c r="J3" s="8">
        <f>H3/C3</f>
        <v>1.0553191489361702</v>
      </c>
      <c r="K3" s="4" t="inlineStr">
        <is>
          <t>ВЫСОКАЯ МАРЖА</t>
        </is>
      </c>
    </row>
    <row r="4" ht="36" customHeight="1">
      <c r="A4" s="4" t="inlineStr">
        <is>
          <t>Ячмень (План)</t>
        </is>
      </c>
      <c r="B4" s="5" t="n">
        <v>104</v>
      </c>
      <c r="C4" s="5" t="n">
        <v>4200</v>
      </c>
      <c r="D4" s="5" t="n">
        <v>2200</v>
      </c>
      <c r="E4" s="7">
        <f>C4/D4</f>
        <v>1.9090909090909092</v>
      </c>
      <c r="F4" s="5" t="n">
        <v>3.5</v>
      </c>
      <c r="G4" s="7">
        <f>B4*D4*F4</f>
        <v>800800.0</v>
      </c>
      <c r="H4" s="7">
        <f>D4*F4-C4</f>
        <v>3500.0</v>
      </c>
      <c r="I4" s="7">
        <f>B4*H4</f>
        <v>364000.0</v>
      </c>
      <c r="J4" s="8">
        <f>H4/C4</f>
        <v>0.8333333333333334</v>
      </c>
      <c r="K4" s="4" t="inlineStr">
        <is>
          <t>СРЕДНЯЯ МАРЖА</t>
        </is>
      </c>
    </row>
    <row r="5" ht="36" customHeight="1">
      <c r="A5" s="4" t="inlineStr">
        <is>
          <t>Хлопок (Сравн)</t>
        </is>
      </c>
      <c r="B5" s="5" t="n">
        <v>1305</v>
      </c>
      <c r="C5" s="5" t="n">
        <v>14800</v>
      </c>
      <c r="D5" s="5" t="n">
        <v>3000</v>
      </c>
      <c r="E5" s="7">
        <f>C5/D5</f>
        <v>4.933333333333334</v>
      </c>
      <c r="F5" s="5" t="n">
        <v>6.5</v>
      </c>
      <c r="G5" s="7">
        <f>B5*D5*F5</f>
        <v>25447500.0</v>
      </c>
      <c r="H5" s="7">
        <f>D5*F5-C5</f>
        <v>4700.0</v>
      </c>
      <c r="I5" s="7">
        <f>B5*H5</f>
        <v>6133500.0</v>
      </c>
      <c r="J5" s="8">
        <f>H5/C5</f>
        <v>0.31756756756756754</v>
      </c>
      <c r="K5" s="4" t="inlineStr">
        <is>
          <t>ТОНКАЯ МАРЖА</t>
        </is>
      </c>
    </row>
    <row r="6" ht="36" customHeight="1">
      <c r="A6" s="4" t="inlineStr">
        <is>
          <t>ИТОГО/СРЕДН</t>
        </is>
      </c>
      <c r="B6" s="7">
        <f>SUM(B2:B4)</f>
        <v>482.0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SUM(G2:G4)</f>
        <v>4516540.0</v>
      </c>
      <c r="H6" s="7">
        <f>AVERAGE(H2:H4)</f>
        <v>4586.666666666667</v>
      </c>
      <c r="I6" s="7">
        <f>SUM(I2:I4)</f>
        <v>2303140.0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При бюджете 4700 сомони/га и урожайности 2500 кг/га себестоимость равна 1,88 сомони/кг. Маржа к выручке и рентабельность затрат различаются знаменателем. Равенство баланса проверяют с объявленной точностью исходных измерений.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(Культура)</t>
        </is>
      </c>
      <c r="B1" s="3" t="inlineStr">
        <is>
          <t>B (Площадь)</t>
        </is>
      </c>
      <c r="C1" s="3" t="inlineStr">
        <is>
          <t>C (Затраты)</t>
        </is>
      </c>
      <c r="D1" s="3" t="inlineStr">
        <is>
          <t>D (Урожай)</t>
        </is>
      </c>
      <c r="E1" s="3" t="inlineStr">
        <is>
          <t>E (Себест 1 кг)</t>
        </is>
      </c>
      <c r="F1" s="3" t="inlineStr">
        <is>
          <t>F (Цена)</t>
        </is>
      </c>
      <c r="G1" s="3" t="inlineStr">
        <is>
          <t>G (Выручка)</t>
        </is>
      </c>
      <c r="H1" s="3" t="inlineStr">
        <is>
          <t>H (Маржа/га)</t>
        </is>
      </c>
      <c r="I1" s="3" t="inlineStr">
        <is>
          <t>I (Маржа всего)</t>
        </is>
      </c>
      <c r="J1" s="3" t="inlineStr">
        <is>
          <t>J (Рентаб)</t>
        </is>
      </c>
      <c r="K1" s="3" t="inlineStr">
        <is>
          <t>K (Статус)</t>
        </is>
      </c>
    </row>
    <row r="2" ht="36" customHeight="1">
      <c r="A2" s="4" t="inlineStr">
        <is>
          <t>Пшеница (План)</t>
        </is>
      </c>
      <c r="B2" s="5" t="n">
        <v>189</v>
      </c>
      <c r="C2" s="5" t="n">
        <v>4700</v>
      </c>
      <c r="D2" s="5" t="n">
        <v>2500</v>
      </c>
      <c r="E2" s="7">
        <f>C2/D2</f>
        <v>1.88</v>
      </c>
      <c r="F2" s="5" t="n">
        <v>4</v>
      </c>
      <c r="G2" s="7">
        <f>B2*D2*F2</f>
        <v>1890000.0</v>
      </c>
      <c r="H2" s="7">
        <f>D2*F2-C2</f>
        <v>5300.0</v>
      </c>
      <c r="I2" s="7">
        <f>B2*H2</f>
        <v>1001700.0</v>
      </c>
      <c r="J2" s="7">
        <f>H2/C2</f>
        <v>1.127659574468085</v>
      </c>
      <c r="K2" s="4" t="inlineStr">
        <is>
          <t>ВЫСОКАЯ МАРЖА</t>
        </is>
      </c>
    </row>
    <row r="3" ht="36" customHeight="1">
      <c r="A3" s="4" t="inlineStr">
        <is>
          <t>Пшеница (Факт)</t>
        </is>
      </c>
      <c r="B3" s="5" t="n">
        <v>189</v>
      </c>
      <c r="C3" s="5" t="n">
        <v>4700</v>
      </c>
      <c r="D3" s="5" t="n">
        <v>2300</v>
      </c>
      <c r="E3" s="7">
        <f>C3/D3</f>
        <v>2.0434782608695654</v>
      </c>
      <c r="F3" s="5" t="n">
        <v>4.2</v>
      </c>
      <c r="G3" s="7">
        <f>B3*D3*F3</f>
        <v>1825740.0</v>
      </c>
      <c r="H3" s="7">
        <f>D3*F3-C3</f>
        <v>4960.0</v>
      </c>
      <c r="I3" s="7">
        <f>B3*H3</f>
        <v>937440.0</v>
      </c>
      <c r="J3" s="7">
        <f>H3/C3</f>
        <v>1.0553191489361702</v>
      </c>
      <c r="K3" s="4" t="inlineStr">
        <is>
          <t>ВЫСОКАЯ МАРЖА</t>
        </is>
      </c>
    </row>
    <row r="4" ht="36" customHeight="1">
      <c r="A4" s="4" t="inlineStr">
        <is>
          <t>Ячмень (План)</t>
        </is>
      </c>
      <c r="B4" s="5" t="n">
        <v>104</v>
      </c>
      <c r="C4" s="5" t="n">
        <v>4200</v>
      </c>
      <c r="D4" s="5" t="n">
        <v>2200</v>
      </c>
      <c r="E4" s="7">
        <f>C4/D4</f>
        <v>1.9090909090909092</v>
      </c>
      <c r="F4" s="5" t="n">
        <v>3.5</v>
      </c>
      <c r="G4" s="7">
        <f>B4*D4*F4</f>
        <v>800800.0</v>
      </c>
      <c r="H4" s="7">
        <f>D4*F4-C4</f>
        <v>3500.0</v>
      </c>
      <c r="I4" s="7">
        <f>B4*H4</f>
        <v>364000.0</v>
      </c>
      <c r="J4" s="7">
        <f>H4/C4</f>
        <v>0.8333333333333334</v>
      </c>
      <c r="K4" s="4" t="inlineStr">
        <is>
          <t>СРЕДНЯЯ МАРЖА</t>
        </is>
      </c>
    </row>
    <row r="5" ht="36" customHeight="1">
      <c r="A5" s="4" t="inlineStr">
        <is>
          <t>Хлопок (Сравн)</t>
        </is>
      </c>
      <c r="B5" s="5" t="n">
        <v>1305</v>
      </c>
      <c r="C5" s="5" t="n">
        <v>14800</v>
      </c>
      <c r="D5" s="5" t="n">
        <v>3000</v>
      </c>
      <c r="E5" s="7">
        <f>C5/D5</f>
        <v>4.933333333333334</v>
      </c>
      <c r="F5" s="5" t="n">
        <v>6.5</v>
      </c>
      <c r="G5" s="7">
        <f>B5*D5*F5</f>
        <v>25447500.0</v>
      </c>
      <c r="H5" s="7">
        <f>D5*F5-C5</f>
        <v>4700.0</v>
      </c>
      <c r="I5" s="7">
        <f>B5*H5</f>
        <v>6133500.0</v>
      </c>
      <c r="J5" s="7">
        <f>H5/C5</f>
        <v>0.31756756756756754</v>
      </c>
      <c r="K5" s="4" t="inlineStr">
        <is>
          <t>ТОНКАЯ МАРЖА</t>
        </is>
      </c>
    </row>
    <row r="6" ht="36" customHeight="1">
      <c r="A6" s="4" t="inlineStr">
        <is>
          <t>ИТОГО/СРЕДН</t>
        </is>
      </c>
      <c r="B6" s="7">
        <f>SUM(B2:B4)</f>
        <v>482.0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7">
        <f>SUM(G2:G4)</f>
        <v>4516540.0</v>
      </c>
      <c r="H6" s="7">
        <f>AVERAGE(H2:H4)</f>
        <v>4586.666666666667</v>
      </c>
      <c r="I6" s="7">
        <f>SUM(I2:I4)</f>
        <v>2303140.0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При бюджете 4700 сомони/га и урожайности 2500 кг/га себестоимость равна 1,88 сомони/кг. Маржа к выручке и рентабельность затрат различаются знаменателем. Равенство баланса проверяют с объявленной точностью исходных измерений.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6" customHeight="1">
      <c r="A1" s="3" t="inlineStr">
        <is>
          <t>№</t>
        </is>
      </c>
      <c r="B1" s="3" t="inlineStr">
        <is>
          <t>Бригадир</t>
        </is>
      </c>
      <c r="C1" s="3" t="inlineStr">
        <is>
          <t>Номера полей</t>
        </is>
      </c>
      <c r="D1" s="3" t="inlineStr">
        <is>
          <t>Всего площадь, га</t>
        </is>
      </c>
      <c r="E1" s="3" t="inlineStr">
        <is>
          <t>Хлопок, га</t>
        </is>
      </c>
      <c r="F1" s="3" t="inlineStr">
        <is>
          <t>Пшеница, га</t>
        </is>
      </c>
      <c r="G1" s="3" t="inlineStr">
        <is>
          <t>Люцерна, требующая сверки плана, га</t>
        </is>
      </c>
    </row>
    <row r="2" ht="36" customHeight="1">
      <c r="A2" s="5" t="n">
        <v>1</v>
      </c>
      <c r="B2" s="4" t="inlineStr">
        <is>
          <t>Сотрудник 17</t>
        </is>
      </c>
      <c r="C2" s="5" t="n">
        <v>242</v>
      </c>
      <c r="D2" s="5" t="n">
        <v>18.29</v>
      </c>
      <c r="E2" s="5" t="n">
        <v>18.29</v>
      </c>
      <c r="F2" s="5" t="n">
        <v>0</v>
      </c>
      <c r="G2" s="5" t="n">
        <v>0</v>
      </c>
    </row>
    <row r="3" ht="36" customHeight="1">
      <c r="A3" s="5" t="n">
        <v>2</v>
      </c>
      <c r="B3" s="4" t="inlineStr">
        <is>
          <t>Сотрудник 02</t>
        </is>
      </c>
      <c r="C3" s="4" t="inlineStr">
        <is>
          <t>46, 47, 37, 233, 71</t>
        </is>
      </c>
      <c r="D3" s="5" t="n">
        <v>50.19</v>
      </c>
      <c r="E3" s="5" t="n">
        <v>38.01</v>
      </c>
      <c r="F3" s="5" t="n">
        <v>8</v>
      </c>
      <c r="G3" s="5" t="n">
        <v>4.18</v>
      </c>
    </row>
    <row r="4" ht="36" customHeight="1">
      <c r="A4" s="5" t="n">
        <v>3</v>
      </c>
      <c r="B4" s="4" t="inlineStr">
        <is>
          <t>Сотрудник 09</t>
        </is>
      </c>
      <c r="C4" s="4" t="inlineStr">
        <is>
          <t>203, 208, 199а, 187, 225</t>
        </is>
      </c>
      <c r="D4" s="5" t="n">
        <v>60.24</v>
      </c>
      <c r="E4" s="5" t="n">
        <v>40.56</v>
      </c>
      <c r="F4" s="5" t="n">
        <v>4</v>
      </c>
      <c r="G4" s="5" t="n">
        <v>15.68</v>
      </c>
    </row>
    <row r="5" ht="36" customHeight="1">
      <c r="A5" s="5" t="n">
        <v>4</v>
      </c>
      <c r="B5" s="4" t="inlineStr">
        <is>
          <t>Сотрудник 04</t>
        </is>
      </c>
      <c r="C5" s="4" t="inlineStr">
        <is>
          <t>59, 64, 68, 69, 66</t>
        </is>
      </c>
      <c r="D5" s="5" t="n">
        <v>46.95</v>
      </c>
      <c r="E5" s="5" t="n">
        <v>28.39</v>
      </c>
      <c r="F5" s="5" t="n">
        <v>2.63</v>
      </c>
      <c r="G5" s="5" t="n">
        <v>15.93</v>
      </c>
    </row>
    <row r="6" ht="36" customHeight="1">
      <c r="A6" s="5" t="n">
        <v>5</v>
      </c>
      <c r="B6" s="4" t="inlineStr">
        <is>
          <t>Сотрудник 14</t>
        </is>
      </c>
      <c r="C6" s="4" t="inlineStr">
        <is>
          <t>193, 196, 197, 145, 147, 323, 191, 175, 193а, 20</t>
        </is>
      </c>
      <c r="D6" s="5" t="n">
        <v>111.37</v>
      </c>
      <c r="E6" s="5" t="n">
        <v>84.95999999999999</v>
      </c>
      <c r="F6" s="5" t="n">
        <v>9.199999999999999</v>
      </c>
      <c r="G6" s="5" t="n">
        <v>17.21</v>
      </c>
    </row>
    <row r="7" ht="36" customHeight="1">
      <c r="A7" s="4" t="inlineStr">
        <is>
          <t>ИТОГО АУ-1</t>
        </is>
      </c>
      <c r="B7" s="4" t="inlineStr">
        <is>
          <t>—</t>
        </is>
      </c>
      <c r="C7" s="4" t="inlineStr">
        <is>
          <t>—</t>
        </is>
      </c>
      <c r="D7" s="5" t="n">
        <v>287.04</v>
      </c>
      <c r="E7" s="5" t="n">
        <v>210.21</v>
      </c>
      <c r="F7" s="5" t="n">
        <v>23.83</v>
      </c>
      <c r="G7" s="5" t="n">
        <v>53</v>
      </c>
    </row>
    <row r="10">
      <c r="A10" t="inlineStr">
        <is>
          <t>Пояснение</t>
        </is>
      </c>
    </row>
    <row r="11">
      <c r="A11" s="6" t="inlineStr">
        <is>
          <t>Различие культур сверяют с актуальным планом и правами на землю. Слово «захвачено» заменено нейтральным описанием: исходная таблица сама по себе не доказывает незаконное использование.</t>
        </is>
      </c>
    </row>
    <row r="12"/>
    <row r="13"/>
  </sheetData>
  <autoFilter ref="A1:G7"/>
  <mergeCells count="1">
    <mergeCell ref="A11:G13"/>
  </mergeCells>
  <pageMargins left="0.75" right="0.75" top="1" bottom="1" header="0.5" footer="0.5"/>
  <pageSetup orientation="landscape" paperSize="9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(№)</t>
        </is>
      </c>
      <c r="B1" s="3" t="inlineStr">
        <is>
          <t>B (Бригадир)</t>
        </is>
      </c>
      <c r="C1" s="3" t="inlineStr">
        <is>
          <t>C (Номера полей)</t>
        </is>
      </c>
      <c r="D1" s="3" t="inlineStr">
        <is>
          <t>D (Площадь, га)</t>
        </is>
      </c>
      <c r="E1" s="3" t="inlineStr">
        <is>
          <t>E (Хлопок, га)</t>
        </is>
      </c>
      <c r="F1" s="3" t="inlineStr">
        <is>
          <t>F (Пшеница, га)</t>
        </is>
      </c>
      <c r="G1" s="3" t="inlineStr">
        <is>
          <t>G (Иная культура, га)</t>
        </is>
      </c>
      <c r="H1" s="3" t="inlineStr">
        <is>
          <t>H (Сорт семян)</t>
        </is>
      </c>
      <c r="I1" s="3" t="inlineStr">
        <is>
          <t>I (Норма ГСМ, л)</t>
        </is>
      </c>
      <c r="J1" s="3" t="inlineStr">
        <is>
          <t>J (Маржа всего, сом)</t>
        </is>
      </c>
      <c r="K1" s="3" t="inlineStr">
        <is>
          <t>K (Статус Риска)</t>
        </is>
      </c>
    </row>
    <row r="2" ht="36" customHeight="1">
      <c r="A2" s="5" t="n">
        <v>1</v>
      </c>
      <c r="B2" s="4" t="inlineStr">
        <is>
          <t>Сотрудник 17</t>
        </is>
      </c>
      <c r="C2" s="5" t="n">
        <v>242</v>
      </c>
      <c r="D2" s="5" t="n">
        <v>18.29</v>
      </c>
      <c r="E2" s="5" t="n">
        <v>18.29</v>
      </c>
      <c r="F2" s="5" t="n">
        <v>0</v>
      </c>
      <c r="G2" s="5" t="n">
        <v>0</v>
      </c>
      <c r="H2" s="4" t="inlineStr">
        <is>
          <t>ф</t>
        </is>
      </c>
      <c r="I2" s="7">
        <f>E2*100+F2*70</f>
        <v>1829.0</v>
      </c>
      <c r="J2" s="7">
        <f>E2*1540+F2*5300</f>
        <v>28166.6</v>
      </c>
      <c r="K2" s="4" t="inlineStr">
        <is>
          <t>НОРМА</t>
        </is>
      </c>
    </row>
    <row r="3" ht="36" customHeight="1">
      <c r="A3" s="5" t="n">
        <v>2</v>
      </c>
      <c r="B3" s="4" t="inlineStr">
        <is>
          <t>Сотрудник 02</t>
        </is>
      </c>
      <c r="C3" s="4" t="inlineStr">
        <is>
          <t>46, 47, 37, 233, 71</t>
        </is>
      </c>
      <c r="D3" s="5" t="n">
        <v>50.19</v>
      </c>
      <c r="E3" s="5" t="n">
        <v>38.01</v>
      </c>
      <c r="F3" s="5" t="n">
        <v>8</v>
      </c>
      <c r="G3" s="5" t="n">
        <v>4.18</v>
      </c>
      <c r="H3" s="4" t="inlineStr">
        <is>
          <t>ф</t>
        </is>
      </c>
      <c r="I3" s="7">
        <f>E3*100+F3*70</f>
        <v>4361.0</v>
      </c>
      <c r="J3" s="7">
        <f>E3*1540+F3*5300</f>
        <v>100935.4</v>
      </c>
      <c r="K3" s="4" t="inlineStr">
        <is>
          <t>НОРМА</t>
        </is>
      </c>
    </row>
    <row r="4" ht="36" customHeight="1">
      <c r="A4" s="5" t="n">
        <v>3</v>
      </c>
      <c r="B4" s="4" t="inlineStr">
        <is>
          <t>Сотрудник 09</t>
        </is>
      </c>
      <c r="C4" s="4" t="inlineStr">
        <is>
          <t>203, 208, 199а, 187</t>
        </is>
      </c>
      <c r="D4" s="5" t="n">
        <v>60.24</v>
      </c>
      <c r="E4" s="5" t="n">
        <v>40.56</v>
      </c>
      <c r="F4" s="5" t="n">
        <v>4</v>
      </c>
      <c r="G4" s="5" t="n">
        <v>15.68</v>
      </c>
      <c r="H4" s="4" t="inlineStr">
        <is>
          <t>ф</t>
        </is>
      </c>
      <c r="I4" s="7">
        <f>E4*100+F4*70</f>
        <v>4336.0</v>
      </c>
      <c r="J4" s="7">
        <f>E4*1540+F4*5300</f>
        <v>83662.4</v>
      </c>
      <c r="K4" s="4" t="inlineStr">
        <is>
          <t>НОРМА</t>
        </is>
      </c>
    </row>
    <row r="5" ht="36" customHeight="1">
      <c r="A5" s="5" t="n">
        <v>4</v>
      </c>
      <c r="B5" s="4" t="inlineStr">
        <is>
          <t>Сотрудник 04</t>
        </is>
      </c>
      <c r="C5" s="4" t="inlineStr">
        <is>
          <t>59, 64, 68, 69, 66</t>
        </is>
      </c>
      <c r="D5" s="5" t="n">
        <v>46.95</v>
      </c>
      <c r="E5" s="5" t="n">
        <v>28.39</v>
      </c>
      <c r="F5" s="5" t="n">
        <v>2.63</v>
      </c>
      <c r="G5" s="5" t="n">
        <v>15.93</v>
      </c>
      <c r="H5" s="4" t="inlineStr">
        <is>
          <t>ф</t>
        </is>
      </c>
      <c r="I5" s="7">
        <f>E5*100+F5*70</f>
        <v>3023.1</v>
      </c>
      <c r="J5" s="7">
        <f>E5*1540+F5*5300</f>
        <v>57659.6</v>
      </c>
      <c r="K5" s="4" t="inlineStr">
        <is>
          <t>НОРМА</t>
        </is>
      </c>
    </row>
    <row r="6" ht="36" customHeight="1">
      <c r="A6" s="5" t="n">
        <v>5</v>
      </c>
      <c r="B6" s="4" t="inlineStr">
        <is>
          <t>Сотрудник 14</t>
        </is>
      </c>
      <c r="C6" s="4" t="inlineStr">
        <is>
          <t>145, 147, 323, 191</t>
        </is>
      </c>
      <c r="D6" s="5" t="n">
        <v>111.37</v>
      </c>
      <c r="E6" s="5" t="n">
        <v>84.95999999999999</v>
      </c>
      <c r="F6" s="5" t="n">
        <v>9.199999999999999</v>
      </c>
      <c r="G6" s="5" t="n">
        <v>17.21</v>
      </c>
      <c r="H6" s="4" t="inlineStr">
        <is>
          <t>ф</t>
        </is>
      </c>
      <c r="I6" s="7">
        <f>E6*100+F6*70</f>
        <v>9140.0</v>
      </c>
      <c r="J6" s="7">
        <f>E6*1540+F6*5300</f>
        <v>179598.4</v>
      </c>
      <c r="K6" s="4" t="inlineStr">
        <is>
          <t>КОНЦЕНТРАЦИЯ</t>
        </is>
      </c>
    </row>
    <row r="7" ht="36" customHeight="1">
      <c r="A7" s="5" t="n">
        <v>6</v>
      </c>
      <c r="B7" s="4" t="inlineStr">
        <is>
          <t>Без бригадира</t>
        </is>
      </c>
      <c r="C7" s="4" t="inlineStr">
        <is>
          <t>193, 196, 197</t>
        </is>
      </c>
      <c r="D7" s="5" t="n">
        <v>15</v>
      </c>
      <c r="E7" s="5" t="n">
        <v>15</v>
      </c>
      <c r="F7" s="5" t="n">
        <v>0</v>
      </c>
      <c r="G7" s="5" t="n">
        <v>0</v>
      </c>
      <c r="H7" s="4" t="inlineStr">
        <is>
          <t>ф</t>
        </is>
      </c>
      <c r="I7" s="7">
        <f>E7*100+F7*70</f>
        <v>1500.0</v>
      </c>
      <c r="J7" s="7">
        <f>E7*1540+F7*5300</f>
        <v>23100.0</v>
      </c>
      <c r="K7" s="4" t="inlineStr">
        <is>
          <t>БЕЗ ОТВЕТСТВ.</t>
        </is>
      </c>
    </row>
    <row r="8" ht="36" customHeight="1">
      <c r="A8" s="4" t="inlineStr">
        <is>
          <t>ИТОГО</t>
        </is>
      </c>
      <c r="B8" s="4" t="inlineStr">
        <is>
          <t>—</t>
        </is>
      </c>
      <c r="C8" s="4" t="inlineStr">
        <is>
          <t>—</t>
        </is>
      </c>
      <c r="D8" s="7">
        <f>SUM(D2:D7)</f>
        <v>302.04</v>
      </c>
      <c r="E8" s="7">
        <f>SUM(E2:E7)</f>
        <v>225.20999999999998</v>
      </c>
      <c r="F8" s="7">
        <f>SUM(F2:F7)</f>
        <v>23.83</v>
      </c>
      <c r="G8" s="7">
        <f>SUM(G2:G7)</f>
        <v>53.0</v>
      </c>
      <c r="H8" s="4" t="inlineStr">
        <is>
          <t>—</t>
        </is>
      </c>
      <c r="I8" s="7">
        <f>SUM(I2:I7)</f>
        <v>24189.1</v>
      </c>
      <c r="J8" s="7">
        <f>SUM(J2:J7)</f>
        <v>473122.39999999997</v>
      </c>
      <c r="K8" s="4" t="inlineStr">
        <is>
          <t>Учебная сверка</t>
        </is>
      </c>
    </row>
    <row r="11">
      <c r="A11" t="inlineStr">
        <is>
          <t>Пояснение</t>
        </is>
      </c>
    </row>
    <row r="12">
      <c r="A12" s="6" t="inlineStr">
        <is>
          <t>Различие культур сверяют с актуальным планом и правами на землю. Слово «захвачено» заменено нейтральным описанием: исходная таблица сама по себе не доказывает незаконное использование.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(№)</t>
        </is>
      </c>
      <c r="B1" s="3" t="inlineStr">
        <is>
          <t>B (Бригадир)</t>
        </is>
      </c>
      <c r="C1" s="3" t="inlineStr">
        <is>
          <t>C (Поля)</t>
        </is>
      </c>
      <c r="D1" s="3" t="inlineStr">
        <is>
          <t>D (Площадь)</t>
        </is>
      </c>
      <c r="E1" s="3" t="inlineStr">
        <is>
          <t>E (Хлопок)</t>
        </is>
      </c>
      <c r="F1" s="3" t="inlineStr">
        <is>
          <t>F (Пшеница)</t>
        </is>
      </c>
      <c r="G1" s="3" t="inlineStr">
        <is>
          <t>G (Иная культура)</t>
        </is>
      </c>
      <c r="H1" s="3" t="inlineStr">
        <is>
          <t>H (Сорт)</t>
        </is>
      </c>
      <c r="I1" s="3" t="inlineStr">
        <is>
          <t>I (ГСМ, л)</t>
        </is>
      </c>
      <c r="J1" s="3" t="inlineStr">
        <is>
          <t>J (Маржа, сом)</t>
        </is>
      </c>
      <c r="K1" s="3" t="inlineStr">
        <is>
          <t>K (Статус)</t>
        </is>
      </c>
    </row>
    <row r="2" ht="36" customHeight="1">
      <c r="A2" s="5" t="n">
        <v>1</v>
      </c>
      <c r="B2" s="4" t="inlineStr">
        <is>
          <t>Сотрудник 17</t>
        </is>
      </c>
      <c r="C2" s="5" t="n">
        <v>242</v>
      </c>
      <c r="D2" s="5" t="n">
        <v>18.29</v>
      </c>
      <c r="E2" s="5" t="n">
        <v>18.29</v>
      </c>
      <c r="F2" s="5" t="n">
        <v>0</v>
      </c>
      <c r="G2" s="5" t="n">
        <v>0</v>
      </c>
      <c r="H2" s="4" t="inlineStr">
        <is>
          <t>ф</t>
        </is>
      </c>
      <c r="I2" s="7">
        <f>E2*100+F2*70</f>
        <v>1829.0</v>
      </c>
      <c r="J2" s="7">
        <f>E2*1540+F2*5300</f>
        <v>28166.6</v>
      </c>
      <c r="K2" s="4" t="inlineStr">
        <is>
          <t>НОРМА</t>
        </is>
      </c>
    </row>
    <row r="3" ht="36" customHeight="1">
      <c r="A3" s="5" t="n">
        <v>2</v>
      </c>
      <c r="B3" s="4" t="inlineStr">
        <is>
          <t>Сотрудник 02</t>
        </is>
      </c>
      <c r="C3" s="4" t="inlineStr">
        <is>
          <t>46, 47, 37</t>
        </is>
      </c>
      <c r="D3" s="5" t="n">
        <v>50.19</v>
      </c>
      <c r="E3" s="5" t="n">
        <v>38.01</v>
      </c>
      <c r="F3" s="5" t="n">
        <v>8</v>
      </c>
      <c r="G3" s="5" t="n">
        <v>4.18</v>
      </c>
      <c r="H3" s="4" t="inlineStr">
        <is>
          <t>ф</t>
        </is>
      </c>
      <c r="I3" s="7">
        <f>E3*100+F3*70</f>
        <v>4361.0</v>
      </c>
      <c r="J3" s="7">
        <f>E3*1540+F3*5300</f>
        <v>100935.4</v>
      </c>
      <c r="K3" s="4" t="inlineStr">
        <is>
          <t>НОРМА</t>
        </is>
      </c>
    </row>
    <row r="4" ht="36" customHeight="1">
      <c r="A4" s="5" t="n">
        <v>3</v>
      </c>
      <c r="B4" s="4" t="inlineStr">
        <is>
          <t>Сотрудник 09</t>
        </is>
      </c>
      <c r="C4" s="4" t="inlineStr">
        <is>
          <t>203, 208, 187</t>
        </is>
      </c>
      <c r="D4" s="5" t="n">
        <v>60.24</v>
      </c>
      <c r="E4" s="5" t="n">
        <v>40.56</v>
      </c>
      <c r="F4" s="5" t="n">
        <v>4</v>
      </c>
      <c r="G4" s="5" t="n">
        <v>15.68</v>
      </c>
      <c r="H4" s="4" t="inlineStr">
        <is>
          <t>ф</t>
        </is>
      </c>
      <c r="I4" s="7">
        <f>E4*100+F4*70</f>
        <v>4336.0</v>
      </c>
      <c r="J4" s="7">
        <f>E4*1540+F4*5300</f>
        <v>83662.4</v>
      </c>
      <c r="K4" s="4" t="inlineStr">
        <is>
          <t>НОРМА</t>
        </is>
      </c>
    </row>
    <row r="5" ht="36" customHeight="1">
      <c r="A5" s="5" t="n">
        <v>4</v>
      </c>
      <c r="B5" s="4" t="inlineStr">
        <is>
          <t>Сотрудник 04</t>
        </is>
      </c>
      <c r="C5" s="4" t="inlineStr">
        <is>
          <t>59, 64, 68</t>
        </is>
      </c>
      <c r="D5" s="5" t="n">
        <v>46.95</v>
      </c>
      <c r="E5" s="5" t="n">
        <v>28.39</v>
      </c>
      <c r="F5" s="5" t="n">
        <v>2.63</v>
      </c>
      <c r="G5" s="5" t="n">
        <v>15.93</v>
      </c>
      <c r="H5" s="4" t="inlineStr">
        <is>
          <t>ф</t>
        </is>
      </c>
      <c r="I5" s="7">
        <f>E5*100+F5*70</f>
        <v>3023.1</v>
      </c>
      <c r="J5" s="7">
        <f>E5*1540+F5*5300</f>
        <v>57659.6</v>
      </c>
      <c r="K5" s="4" t="inlineStr">
        <is>
          <t>НОРМА</t>
        </is>
      </c>
    </row>
    <row r="6" ht="36" customHeight="1">
      <c r="A6" s="5" t="n">
        <v>5</v>
      </c>
      <c r="B6" s="4" t="inlineStr">
        <is>
          <t>Сотрудник 14</t>
        </is>
      </c>
      <c r="C6" s="4" t="inlineStr">
        <is>
          <t>145, 147, 323</t>
        </is>
      </c>
      <c r="D6" s="5" t="n">
        <v>111.37</v>
      </c>
      <c r="E6" s="5" t="n">
        <v>84.95999999999999</v>
      </c>
      <c r="F6" s="5" t="n">
        <v>9.199999999999999</v>
      </c>
      <c r="G6" s="5" t="n">
        <v>17.21</v>
      </c>
      <c r="H6" s="4" t="inlineStr">
        <is>
          <t>ф</t>
        </is>
      </c>
      <c r="I6" s="7">
        <f>E6*100+F6*70</f>
        <v>9140.0</v>
      </c>
      <c r="J6" s="7">
        <f>E6*1540+F6*5300</f>
        <v>179598.4</v>
      </c>
      <c r="K6" s="4" t="inlineStr">
        <is>
          <t>КОНЦЕНТРАЦИЯ</t>
        </is>
      </c>
    </row>
    <row r="7" ht="36" customHeight="1">
      <c r="A7" s="5" t="n">
        <v>6</v>
      </c>
      <c r="B7" s="4" t="inlineStr">
        <is>
          <t>Без бригадира</t>
        </is>
      </c>
      <c r="C7" s="4" t="inlineStr">
        <is>
          <t>193, 196, 197</t>
        </is>
      </c>
      <c r="D7" s="5" t="n">
        <v>15</v>
      </c>
      <c r="E7" s="5" t="n">
        <v>15</v>
      </c>
      <c r="F7" s="5" t="n">
        <v>0</v>
      </c>
      <c r="G7" s="5" t="n">
        <v>0</v>
      </c>
      <c r="H7" s="4" t="inlineStr">
        <is>
          <t>ф</t>
        </is>
      </c>
      <c r="I7" s="7">
        <f>E7*100+F7*70</f>
        <v>1500.0</v>
      </c>
      <c r="J7" s="7">
        <f>E7*1540+F7*5300</f>
        <v>23100.0</v>
      </c>
      <c r="K7" s="4" t="inlineStr">
        <is>
          <t>БЕЗ ОТВЕТСТВ.</t>
        </is>
      </c>
    </row>
    <row r="8" ht="36" customHeight="1">
      <c r="A8" s="4" t="inlineStr">
        <is>
          <t>ИТОГО</t>
        </is>
      </c>
      <c r="B8" s="4" t="inlineStr">
        <is>
          <t>—</t>
        </is>
      </c>
      <c r="C8" s="4" t="inlineStr">
        <is>
          <t>—</t>
        </is>
      </c>
      <c r="D8" s="7">
        <f>SUM(D2:D7)</f>
        <v>302.04</v>
      </c>
      <c r="E8" s="7">
        <f>SUM(E2:E7)</f>
        <v>225.20999999999998</v>
      </c>
      <c r="F8" s="7">
        <f>SUM(F2:F7)</f>
        <v>23.83</v>
      </c>
      <c r="G8" s="7">
        <f>SUM(G2:G7)</f>
        <v>53.0</v>
      </c>
      <c r="H8" s="4" t="inlineStr">
        <is>
          <t>—</t>
        </is>
      </c>
      <c r="I8" s="7">
        <f>SUM(I2:I7)</f>
        <v>24189.1</v>
      </c>
      <c r="J8" s="7">
        <f>SUM(J2:J7)</f>
        <v>473122.39999999997</v>
      </c>
      <c r="K8" s="4" t="inlineStr">
        <is>
          <t>Учебная сверка</t>
        </is>
      </c>
    </row>
    <row r="11">
      <c r="A11" t="inlineStr">
        <is>
          <t>Пояснение</t>
        </is>
      </c>
    </row>
    <row r="12">
      <c r="A12" s="6" t="inlineStr">
        <is>
          <t>Различие культур сверяют с актуальным планом и правами на землю. Слово «захвачено» заменено нейтральным описанием: исходная таблица сама по себе не доказывает незаконное использование.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Вид выплат</t>
        </is>
      </c>
      <c r="B1" s="3" t="inlineStr">
        <is>
          <t>Ручные работы (33 операции)</t>
        </is>
      </c>
      <c r="C1" s="3" t="inlineStr">
        <is>
          <t>Механизированные работы (43 операции)</t>
        </is>
      </c>
    </row>
    <row r="2" ht="36" customHeight="1">
      <c r="A2" s="4" t="inlineStr">
        <is>
          <t>Базовая ставка</t>
        </is>
      </c>
      <c r="B2" s="4" t="inlineStr">
        <is>
          <t>100% (по разряду 1–8)</t>
        </is>
      </c>
      <c r="C2" s="4" t="inlineStr">
        <is>
          <t>100% (по разряду 1–8)</t>
        </is>
      </c>
    </row>
    <row r="3" ht="36" customHeight="1">
      <c r="A3" s="4" t="inlineStr">
        <is>
          <t>Премия за выполнение нормы</t>
        </is>
      </c>
      <c r="B3" s="9" t="n">
        <v>0.05</v>
      </c>
      <c r="C3" s="9" t="n">
        <v>0.1</v>
      </c>
    </row>
    <row r="4" ht="36" customHeight="1">
      <c r="A4" s="4" t="inlineStr">
        <is>
          <t>Премия за качество работы</t>
        </is>
      </c>
      <c r="B4" s="9" t="n">
        <v>0.05</v>
      </c>
      <c r="C4" s="9" t="n">
        <v>0.1</v>
      </c>
    </row>
    <row r="5" ht="36" customHeight="1">
      <c r="A5" s="4" t="inlineStr">
        <is>
          <t>Максимальное удорожание ФОТ</t>
        </is>
      </c>
      <c r="B5" s="4" t="inlineStr">
        <is>
          <t>+10%: 5076 × 1,10 = 5583,60 сом/га</t>
        </is>
      </c>
      <c r="C5" s="9" t="n">
        <v>0.2</v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C5"/>
  <mergeCells count="1">
    <mergeCell ref="A9:C11"/>
  </mergeCells>
  <pageMargins left="0.75" right="0.75" top="1" bottom="1" header="0.5" footer="0.5"/>
  <pageSetup orientation="landscape" paperSize="9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Признак сравнения</t>
        </is>
      </c>
      <c r="B1" s="3" t="inlineStr">
        <is>
          <t>Экономическая премия (KPI)</t>
        </is>
      </c>
      <c r="C1" s="3" t="inlineStr">
        <is>
          <t>Скрытая надбавка (Гарантия)</t>
        </is>
      </c>
    </row>
    <row r="2" ht="36" customHeight="1">
      <c r="A2" s="4" t="inlineStr">
        <is>
          <t>Зависимость от результата</t>
        </is>
      </c>
      <c r="B2" s="4" t="inlineStr">
        <is>
          <t>Да, начисляется при достижении измеримого KPI .</t>
        </is>
      </c>
      <c r="C2" s="4" t="inlineStr">
        <is>
          <t>Нет, выплачивается автоматически .</t>
        </is>
      </c>
    </row>
    <row r="3" ht="36" customHeight="1">
      <c r="A3" s="4" t="inlineStr">
        <is>
          <t>Возможность отказа в выплате</t>
        </is>
      </c>
      <c r="B3" s="4" t="inlineStr">
        <is>
          <t>Да, если норма или качество не подтверждены .</t>
        </is>
      </c>
      <c r="C3" s="4" t="inlineStr">
        <is>
          <t>Нет, воспринимается как часть оклада .</t>
        </is>
      </c>
    </row>
    <row r="4" ht="36" customHeight="1">
      <c r="A4" s="4" t="inlineStr">
        <is>
          <t>Документальное подтверждение</t>
        </is>
      </c>
      <c r="B4" s="4" t="inlineStr">
        <is>
          <t>Акт замера агронома / Сертификат хлопзавода .</t>
        </is>
      </c>
      <c r="C4" s="4" t="inlineStr">
        <is>
          <t>Формальная галочка в табеле .</t>
        </is>
      </c>
    </row>
    <row r="5" ht="36" customHeight="1">
      <c r="A5" s="4" t="inlineStr">
        <is>
          <t>Налоговый риск</t>
        </is>
      </c>
      <c r="B5" s="4" t="inlineStr">
        <is>
          <t>Затраты уменьшают налог на прибыль .</t>
        </is>
      </c>
      <c r="C5" s="4" t="inlineStr">
        <is>
          <t>Риск доначисления соцналога и штрафов .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C5"/>
  <mergeCells count="1">
    <mergeCell ref="A9:C11"/>
  </mergeCells>
  <pageMargins left="0.75" right="0.75" top="1" bottom="1" header="0.5" footer="0.5"/>
  <pageSetup orientation="landscape" paperSize="9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(Агроучасток)</t>
        </is>
      </c>
      <c r="B1" s="3" t="inlineStr">
        <is>
          <t>B (Площадь, га)</t>
        </is>
      </c>
      <c r="C1" s="3" t="inlineStr">
        <is>
          <t>C (Базовый ФОТ, сом/га)</t>
        </is>
      </c>
      <c r="D1" s="3" t="inlineStr">
        <is>
          <t>D (Премия Норма, %)</t>
        </is>
      </c>
      <c r="E1" s="3" t="inlineStr">
        <is>
          <t>E (Премия Качество, %)</t>
        </is>
      </c>
      <c r="F1" s="3" t="inlineStr">
        <is>
          <t>F (ФОТ с премий, сом)</t>
        </is>
      </c>
      <c r="G1" s="3" t="inlineStr">
        <is>
          <t>G (Урожай факт, ц/га)</t>
        </is>
      </c>
      <c r="H1" s="3" t="inlineStr">
        <is>
          <t>H (Статус KPI)</t>
        </is>
      </c>
      <c r="I1" s="3" t="inlineStr">
        <is>
          <t>I (Необоснованные премии, сом)</t>
        </is>
      </c>
      <c r="J1" s="3" t="inlineStr">
        <is>
          <t>J (Уровень риска)</t>
        </is>
      </c>
      <c r="K1" s="3" t="inlineStr">
        <is>
          <t>K (Решение)</t>
        </is>
      </c>
    </row>
    <row r="2" ht="36" customHeight="1">
      <c r="A2" s="4" t="inlineStr">
        <is>
          <t>АУ-1 (Сотрудник 15)</t>
        </is>
      </c>
      <c r="B2" s="5" t="n">
        <v>287</v>
      </c>
      <c r="C2" s="5" t="n">
        <v>5076</v>
      </c>
      <c r="D2" s="9" t="n">
        <v>0.05</v>
      </c>
      <c r="E2" s="9" t="n">
        <v>0.05</v>
      </c>
      <c r="F2" s="7">
        <f>B2*C2*(1+D2+E2)</f>
        <v>1602493.2000000002</v>
      </c>
      <c r="G2" s="5" t="n">
        <v>24.8</v>
      </c>
      <c r="H2" s="4" t="inlineStr">
        <is>
          <t>ЧАСТИЧНО</t>
        </is>
      </c>
      <c r="I2" s="7">
        <f>B2*C2*0.05</f>
        <v>72840.6</v>
      </c>
      <c r="J2" s="4" t="inlineStr">
        <is>
          <t>СРЕДНИЙ</t>
        </is>
      </c>
      <c r="K2" s="4" t="inlineStr">
        <is>
          <t>Замер качества</t>
        </is>
      </c>
    </row>
    <row r="3" ht="36" customHeight="1">
      <c r="A3" s="4" t="inlineStr">
        <is>
          <t>АУ-2 (Сотрудник 21)</t>
        </is>
      </c>
      <c r="B3" s="5" t="n">
        <v>322</v>
      </c>
      <c r="C3" s="5" t="n">
        <v>5076</v>
      </c>
      <c r="D3" s="9" t="n">
        <v>0.05</v>
      </c>
      <c r="E3" s="9" t="n">
        <v>0.05</v>
      </c>
      <c r="F3" s="7">
        <f>B3*C3*(1+D3+E3)</f>
        <v>1797919.2000000002</v>
      </c>
      <c r="G3" s="5" t="n">
        <v>25.2</v>
      </c>
      <c r="H3" s="4" t="inlineStr">
        <is>
          <t>ВЫПОЛНЕНО</t>
        </is>
      </c>
      <c r="I3" s="5" t="n">
        <v>0</v>
      </c>
      <c r="J3" s="4" t="inlineStr">
        <is>
          <t>НИЗКИЙ</t>
        </is>
      </c>
      <c r="K3" s="4" t="inlineStr">
        <is>
          <t>Выплатить 100%</t>
        </is>
      </c>
    </row>
    <row r="4" ht="36" customHeight="1">
      <c r="A4" s="4" t="inlineStr">
        <is>
          <t>АУ-3 (Сотрудник 23)</t>
        </is>
      </c>
      <c r="B4" s="5" t="n">
        <v>300</v>
      </c>
      <c r="C4" s="5" t="n">
        <v>5076</v>
      </c>
      <c r="D4" s="9" t="n">
        <v>0.05</v>
      </c>
      <c r="E4" s="9" t="n">
        <v>0.05</v>
      </c>
      <c r="F4" s="7">
        <f>B4*C4*(1+D4+E4)</f>
        <v>1675080.0000000002</v>
      </c>
      <c r="G4" s="5" t="n">
        <v>18.2</v>
      </c>
      <c r="H4" s="4" t="inlineStr">
        <is>
          <t>СРЫВ PLAN</t>
        </is>
      </c>
      <c r="I4" s="7">
        <f>B4*C4*0.10</f>
        <v>152280.0</v>
      </c>
      <c r="J4" s="4" t="inlineStr">
        <is>
          <t>КРИТИЧЕСКИЙ</t>
        </is>
      </c>
      <c r="K4" s="4" t="inlineStr">
        <is>
          <t>Снять премии</t>
        </is>
      </c>
    </row>
    <row r="5" ht="36" customHeight="1">
      <c r="A5" s="4" t="inlineStr">
        <is>
          <t>АУ-4 (Сотрудник 03)</t>
        </is>
      </c>
      <c r="B5" s="5" t="n">
        <v>250</v>
      </c>
      <c r="C5" s="5" t="n">
        <v>5076</v>
      </c>
      <c r="D5" s="9" t="n">
        <v>0.05</v>
      </c>
      <c r="E5" s="9" t="n">
        <v>0.05</v>
      </c>
      <c r="F5" s="7">
        <f>B5*C5*(1+D5+E5)</f>
        <v>1395900.0</v>
      </c>
      <c r="G5" s="5" t="n">
        <v>39.8</v>
      </c>
      <c r="H5" s="4" t="inlineStr">
        <is>
          <t>АНОМАЛИЯ</t>
        </is>
      </c>
      <c r="I5" s="7">
        <f>B5*C5*0.10</f>
        <v>126900.0</v>
      </c>
      <c r="J5" s="4" t="inlineStr">
        <is>
          <t>КРИТИЧЕСКИЙ</t>
        </is>
      </c>
      <c r="K5" s="4" t="inlineStr">
        <is>
          <t>Форензик аудит</t>
        </is>
      </c>
    </row>
    <row r="6" ht="36" customHeight="1">
      <c r="A6" s="4" t="inlineStr">
        <is>
          <t>ИТОГО</t>
        </is>
      </c>
      <c r="B6" s="5" t="n">
        <v>1159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7">
        <f>SUM(F2:F5)</f>
        <v>6471392.4</v>
      </c>
      <c r="G6" s="7">
        <f>AVERAGE(G2:G5)</f>
        <v>27.0</v>
      </c>
      <c r="H6" s="4" t="inlineStr">
        <is>
          <t>—</t>
        </is>
      </c>
      <c r="I6" s="7">
        <f>SUM(I2:I5)</f>
        <v>352020.6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Две надбавки по 5% начисляются на одну базу: общий множитель 1+0,05+0,05=1,10. Условия права на премию определяет договор. Без документа нельзя автоматически объявлять выплату необоснованной.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(Агроучасток)</t>
        </is>
      </c>
      <c r="B1" s="3" t="inlineStr">
        <is>
          <t>B (Площадь)</t>
        </is>
      </c>
      <c r="C1" s="3" t="inlineStr">
        <is>
          <t>C (Базовый ФОТ)</t>
        </is>
      </c>
      <c r="D1" s="3" t="inlineStr">
        <is>
          <t>D (Норма)</t>
        </is>
      </c>
      <c r="E1" s="3" t="inlineStr">
        <is>
          <t>E (Качество)</t>
        </is>
      </c>
      <c r="F1" s="3" t="inlineStr">
        <is>
          <t>F (ФОТ с премий)</t>
        </is>
      </c>
      <c r="G1" s="3" t="inlineStr">
        <is>
          <t>G (Урожай)</t>
        </is>
      </c>
      <c r="H1" s="3" t="inlineStr">
        <is>
          <t>H (Статус KPI)</t>
        </is>
      </c>
      <c r="I1" s="3" t="inlineStr">
        <is>
          <t>I (Необоснованно)</t>
        </is>
      </c>
      <c r="J1" s="3" t="inlineStr">
        <is>
          <t>J (Риск)</t>
        </is>
      </c>
      <c r="K1" s="3" t="inlineStr">
        <is>
          <t>K (Решение)</t>
        </is>
      </c>
    </row>
    <row r="2" ht="36" customHeight="1">
      <c r="A2" s="4" t="inlineStr">
        <is>
          <t>АУ-1 (Сотрудник 15)</t>
        </is>
      </c>
      <c r="B2" s="5" t="n">
        <v>287</v>
      </c>
      <c r="C2" s="5" t="n">
        <v>5076</v>
      </c>
      <c r="D2" s="9" t="n">
        <v>0.05</v>
      </c>
      <c r="E2" s="9" t="n">
        <v>0.05</v>
      </c>
      <c r="F2" s="7">
        <f>B2*C2*(1+D2+E2)</f>
        <v>1602493.2000000002</v>
      </c>
      <c r="G2" s="5" t="n">
        <v>24.8</v>
      </c>
      <c r="H2" s="4" t="inlineStr">
        <is>
          <t>ЧАСТИЧНО</t>
        </is>
      </c>
      <c r="I2" s="7">
        <f>B2*C2*0.05</f>
        <v>72840.6</v>
      </c>
      <c r="J2" s="4" t="inlineStr">
        <is>
          <t>СРЕДНИЙ</t>
        </is>
      </c>
      <c r="K2" s="4" t="inlineStr">
        <is>
          <t>Замер качества</t>
        </is>
      </c>
    </row>
    <row r="3" ht="36" customHeight="1">
      <c r="A3" s="4" t="inlineStr">
        <is>
          <t>АУ-2 (Сотрудник 21)</t>
        </is>
      </c>
      <c r="B3" s="5" t="n">
        <v>322</v>
      </c>
      <c r="C3" s="5" t="n">
        <v>5076</v>
      </c>
      <c r="D3" s="9" t="n">
        <v>0.05</v>
      </c>
      <c r="E3" s="9" t="n">
        <v>0.05</v>
      </c>
      <c r="F3" s="7">
        <f>B3*C3*(1+D3+E3)</f>
        <v>1797919.2000000002</v>
      </c>
      <c r="G3" s="5" t="n">
        <v>25.2</v>
      </c>
      <c r="H3" s="4" t="inlineStr">
        <is>
          <t>ВЫПОЛНЕНО</t>
        </is>
      </c>
      <c r="I3" s="5" t="n">
        <v>0</v>
      </c>
      <c r="J3" s="4" t="inlineStr">
        <is>
          <t>НИЗКИЙ</t>
        </is>
      </c>
      <c r="K3" s="4" t="inlineStr">
        <is>
          <t>Выплатить 100%</t>
        </is>
      </c>
    </row>
    <row r="4" ht="36" customHeight="1">
      <c r="A4" s="4" t="inlineStr">
        <is>
          <t>АУ-3 (Сотрудник 23)</t>
        </is>
      </c>
      <c r="B4" s="5" t="n">
        <v>300</v>
      </c>
      <c r="C4" s="5" t="n">
        <v>5076</v>
      </c>
      <c r="D4" s="9" t="n">
        <v>0.05</v>
      </c>
      <c r="E4" s="9" t="n">
        <v>0.05</v>
      </c>
      <c r="F4" s="7">
        <f>B4*C4*(1+D4+E4)</f>
        <v>1675080.0000000002</v>
      </c>
      <c r="G4" s="5" t="n">
        <v>18.2</v>
      </c>
      <c r="H4" s="4" t="inlineStr">
        <is>
          <t>СРЫВ PLAN</t>
        </is>
      </c>
      <c r="I4" s="7">
        <f>B4*C4*0.10</f>
        <v>152280.0</v>
      </c>
      <c r="J4" s="4" t="inlineStr">
        <is>
          <t>КРИТИЧЕСКИЙ</t>
        </is>
      </c>
      <c r="K4" s="4" t="inlineStr">
        <is>
          <t>Снять премии</t>
        </is>
      </c>
    </row>
    <row r="5" ht="36" customHeight="1">
      <c r="A5" s="4" t="inlineStr">
        <is>
          <t>АУ-4 (Сотрудник 03)</t>
        </is>
      </c>
      <c r="B5" s="5" t="n">
        <v>250</v>
      </c>
      <c r="C5" s="5" t="n">
        <v>5076</v>
      </c>
      <c r="D5" s="9" t="n">
        <v>0.05</v>
      </c>
      <c r="E5" s="9" t="n">
        <v>0.05</v>
      </c>
      <c r="F5" s="7">
        <f>B5*C5*(1+D5+E5)</f>
        <v>1395900.0</v>
      </c>
      <c r="G5" s="5" t="n">
        <v>39.8</v>
      </c>
      <c r="H5" s="4" t="inlineStr">
        <is>
          <t>АНОМАЛИЯ</t>
        </is>
      </c>
      <c r="I5" s="7">
        <f>B5*C5*0.10</f>
        <v>126900.0</v>
      </c>
      <c r="J5" s="4" t="inlineStr">
        <is>
          <t>КРИТИЧЕСКИЙ</t>
        </is>
      </c>
      <c r="K5" s="4" t="inlineStr">
        <is>
          <t>Форензик аудит</t>
        </is>
      </c>
    </row>
    <row r="6" ht="36" customHeight="1">
      <c r="A6" s="4" t="inlineStr">
        <is>
          <t>ИТОГО</t>
        </is>
      </c>
      <c r="B6" s="5" t="n">
        <v>1159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7">
        <f>SUM(F2:F5)</f>
        <v>6471392.4</v>
      </c>
      <c r="G6" s="7">
        <f>AVERAGE(G2:G5)</f>
        <v>27.0</v>
      </c>
      <c r="H6" s="4" t="inlineStr">
        <is>
          <t>—</t>
        </is>
      </c>
      <c r="I6" s="7">
        <f>SUM(I2:I5)</f>
        <v>352020.6</v>
      </c>
      <c r="J6" s="4" t="inlineStr">
        <is>
          <t>—</t>
        </is>
      </c>
      <c r="K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Две надбавки по 5% начисляются на одну базу: общий множитель 1+0,05+0,05=1,10. Условия права на премию определяет договор. Без документа нельзя автоматически объявлять выплату необоснованной.</t>
        </is>
      </c>
    </row>
    <row r="11"/>
    <row r="12"/>
  </sheetData>
  <autoFilter ref="A1:K6"/>
  <mergeCells count="1">
    <mergeCell ref="A10:K12"/>
  </mergeCells>
  <pageMargins left="0.75" right="0.75" top="1" bottom="1" header="0.5" footer="0.5"/>
  <pageSetup orientation="landscape" paperSize="9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KPI Показатель</t>
        </is>
      </c>
      <c r="B1" s="3" t="inlineStr">
        <is>
          <t>План сезона</t>
        </is>
      </c>
      <c r="C1" s="3" t="inlineStr">
        <is>
          <t>Факт сезона</t>
        </is>
      </c>
      <c r="D1" s="3" t="inlineStr">
        <is>
          <t>% Исполнения</t>
        </is>
      </c>
      <c r="E1" s="3" t="inlineStr">
        <is>
          <t>Аналитический вывод экономиста</t>
        </is>
      </c>
    </row>
    <row r="2" ht="36" customHeight="1">
      <c r="A2" s="4" t="inlineStr">
        <is>
          <t>Валовой сбор, т</t>
        </is>
      </c>
      <c r="B2" s="5" t="n">
        <v>822.13</v>
      </c>
      <c r="C2" s="5" t="n">
        <v>617.9</v>
      </c>
      <c r="D2" s="9" t="n">
        <v>0.752</v>
      </c>
      <c r="E2" s="4" t="inlineStr">
        <is>
          <t>Недобор 204,23 тонн сырца (−24,8%) .</t>
        </is>
      </c>
    </row>
    <row r="3" ht="36" customHeight="1">
      <c r="A3" s="4" t="inlineStr">
        <is>
          <t>Сборщики (ср. чел/день)</t>
        </is>
      </c>
      <c r="B3" s="5" t="n">
        <v>489</v>
      </c>
      <c r="C3" s="5" t="n">
        <v>558.7</v>
      </c>
      <c r="D3" s="9" t="n">
        <v>1.143</v>
      </c>
      <c r="E3" s="4" t="inlineStr">
        <is>
          <t>Выведено на +69,7 человек больше плана !</t>
        </is>
      </c>
    </row>
    <row r="4" ht="36" customHeight="1">
      <c r="A4" s="4" t="inlineStr">
        <is>
          <t>Убранная площадь, га</t>
        </is>
      </c>
      <c r="B4" s="5" t="n">
        <v>274</v>
      </c>
      <c r="C4" s="5" t="n">
        <v>340</v>
      </c>
      <c r="D4" s="9" t="n">
        <v>1.241</v>
      </c>
      <c r="E4" s="4" t="inlineStr">
        <is>
          <t>Убрано больше площадей для добора вала .</t>
        </is>
      </c>
    </row>
    <row r="5" ht="36" customHeight="1">
      <c r="A5" s="4" t="inlineStr">
        <is>
          <t>Урожайность, ц/га</t>
        </is>
      </c>
      <c r="B5" s="5" t="n">
        <v>30</v>
      </c>
      <c r="C5" s="5" t="n">
        <v>18.17</v>
      </c>
      <c r="D5" s="9" t="n">
        <v>0.606</v>
      </c>
      <c r="E5" s="4" t="inlineStr">
        <is>
          <t>Провал на −39,4% (критический риск) .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E5"/>
  <mergeCells count="1">
    <mergeCell ref="A9:E11"/>
  </mergeCells>
  <pageMargins left="0.75" right="0.75" top="1" bottom="1" header="0.5" footer="0.5"/>
  <pageSetup orientation="landscape" paperSize="9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(Агроучасток / Сектор)</t>
        </is>
      </c>
      <c r="B1" s="3" t="inlineStr">
        <is>
          <t>B (Площадь, га)</t>
        </is>
      </c>
      <c r="C1" s="3" t="inlineStr">
        <is>
          <t>C (План сбора, т)</t>
        </is>
      </c>
      <c r="D1" s="3" t="inlineStr">
        <is>
          <t>D (Факт сбора, т)</t>
        </is>
      </c>
      <c r="E1" s="3" t="inlineStr">
        <is>
          <t>E (% Выполн)</t>
        </is>
      </c>
      <c r="F1" s="3" t="inlineStr">
        <is>
          <t>F (План ц/га)</t>
        </is>
      </c>
      <c r="G1" s="3" t="inlineStr">
        <is>
          <t>G (Факт ц/га)</t>
        </is>
      </c>
      <c r="H1" s="3" t="inlineStr">
        <is>
          <t>H (Сборщики факт)</t>
        </is>
      </c>
      <c r="I1" s="3" t="inlineStr">
        <is>
          <t>I (Кг за период / указанную численность)</t>
        </is>
      </c>
      <c r="J1" s="3" t="inlineStr">
        <is>
          <t>J (Статус Риска)</t>
        </is>
      </c>
      <c r="K1" s="3" t="inlineStr">
        <is>
          <t>K (Оперативное решение)</t>
        </is>
      </c>
    </row>
    <row r="2" ht="36" customHeight="1">
      <c r="A2" s="4" t="inlineStr">
        <is>
          <t>АУ-1 (Сотрудник 15)</t>
        </is>
      </c>
      <c r="B2" s="5" t="n">
        <v>287</v>
      </c>
      <c r="C2" s="5" t="n">
        <v>861</v>
      </c>
      <c r="D2" s="5" t="n">
        <v>516.6</v>
      </c>
      <c r="E2" s="8">
        <f>D2/C2</f>
        <v>0.6</v>
      </c>
      <c r="F2" s="5" t="n">
        <v>30</v>
      </c>
      <c r="G2" s="7">
        <f>D2*10/B2</f>
        <v>18.0</v>
      </c>
      <c r="H2" s="5" t="n">
        <v>140</v>
      </c>
      <c r="I2" s="7">
        <f>D2*1000/H2</f>
        <v>3690.0</v>
      </c>
      <c r="J2" s="4" t="inlineStr">
        <is>
          <t>УБЫТОК</t>
        </is>
      </c>
      <c r="K2" s="4" t="inlineStr">
        <is>
          <t>Проверить бригады</t>
        </is>
      </c>
    </row>
    <row r="3" ht="36" customHeight="1">
      <c r="A3" s="4" t="inlineStr">
        <is>
          <t>АУ-2 (Сотрудник 21)</t>
        </is>
      </c>
      <c r="B3" s="5" t="n">
        <v>322</v>
      </c>
      <c r="C3" s="5" t="n">
        <v>966</v>
      </c>
      <c r="D3" s="5" t="n">
        <v>811.4</v>
      </c>
      <c r="E3" s="8">
        <f>D3/C3</f>
        <v>0.8399585921325051</v>
      </c>
      <c r="F3" s="5" t="n">
        <v>30</v>
      </c>
      <c r="G3" s="7">
        <f>D3*10/B3</f>
        <v>25.198757763975156</v>
      </c>
      <c r="H3" s="5" t="n">
        <v>160</v>
      </c>
      <c r="I3" s="7">
        <f>D3*1000/H3</f>
        <v>5071.25</v>
      </c>
      <c r="J3" s="4" t="inlineStr">
        <is>
          <t>НОРМА</t>
        </is>
      </c>
      <c r="K3" s="4" t="inlineStr">
        <is>
          <t>Стимулировать сбор</t>
        </is>
      </c>
    </row>
    <row r="4" ht="36" customHeight="1">
      <c r="A4" s="4" t="inlineStr">
        <is>
          <t>АУ-3 (Сотрудник 23)</t>
        </is>
      </c>
      <c r="B4" s="5" t="n">
        <v>300</v>
      </c>
      <c r="C4" s="5" t="n">
        <v>900</v>
      </c>
      <c r="D4" s="5" t="n">
        <v>546</v>
      </c>
      <c r="E4" s="8">
        <f>D4/C4</f>
        <v>0.6066666666666667</v>
      </c>
      <c r="F4" s="5" t="n">
        <v>30</v>
      </c>
      <c r="G4" s="7">
        <f>D4*10/B4</f>
        <v>18.2</v>
      </c>
      <c r="H4" s="5" t="n">
        <v>150</v>
      </c>
      <c r="I4" s="7">
        <f>D4*1000/H4</f>
        <v>3640.0</v>
      </c>
      <c r="J4" s="4" t="inlineStr">
        <is>
          <t>УБЫТОК</t>
        </is>
      </c>
      <c r="K4" s="4" t="inlineStr">
        <is>
          <t>Аудит мех. работ</t>
        </is>
      </c>
    </row>
    <row r="5" ht="36" customHeight="1">
      <c r="A5" s="4" t="inlineStr">
        <is>
          <t>АУ-4 (Сотрудник 03)</t>
        </is>
      </c>
      <c r="B5" s="5" t="n">
        <v>250</v>
      </c>
      <c r="C5" s="5" t="n">
        <v>750</v>
      </c>
      <c r="D5" s="5" t="n">
        <v>995</v>
      </c>
      <c r="E5" s="8">
        <f>D5/C5</f>
        <v>1.3266666666666667</v>
      </c>
      <c r="F5" s="5" t="n">
        <v>30</v>
      </c>
      <c r="G5" s="7">
        <f>D5*10/B5</f>
        <v>39.8</v>
      </c>
      <c r="H5" s="5" t="n">
        <v>110</v>
      </c>
      <c r="I5" s="7">
        <f>D5*1000/H5</f>
        <v>9045.454545454546</v>
      </c>
      <c r="J5" s="4" t="inlineStr">
        <is>
          <t>АНОМАЛИЯ</t>
        </is>
      </c>
      <c r="K5" s="4" t="inlineStr">
        <is>
          <t>Проверка весовой</t>
        </is>
      </c>
    </row>
    <row r="6" ht="36" customHeight="1">
      <c r="A6" s="4" t="inlineStr">
        <is>
          <t>Сектор «Дог-сотруд»</t>
        </is>
      </c>
      <c r="B6" s="5" t="n">
        <v>388</v>
      </c>
      <c r="C6" s="5" t="n">
        <v>1152</v>
      </c>
      <c r="D6" s="5" t="n">
        <v>68.90000000000001</v>
      </c>
      <c r="E6" s="8">
        <f>D6/C6</f>
        <v>0.05980902777777778</v>
      </c>
      <c r="F6" s="5" t="n">
        <v>30</v>
      </c>
      <c r="G6" s="7">
        <f>D6*10/B6</f>
        <v>1.7757731958762886</v>
      </c>
      <c r="H6" s="5" t="n">
        <v>20</v>
      </c>
      <c r="I6" s="7">
        <f>D6*1000/H6</f>
        <v>3445.0</v>
      </c>
      <c r="J6" s="4" t="inlineStr">
        <is>
          <t>УВОД СЫРЦА</t>
        </is>
      </c>
      <c r="K6" s="4" t="inlineStr">
        <is>
          <t>Выезд СЭБ / Запрос</t>
        </is>
      </c>
    </row>
    <row r="7" ht="36" customHeight="1">
      <c r="A7" s="4" t="inlineStr">
        <is>
          <t>ИТОГО ПК</t>
        </is>
      </c>
      <c r="B7" s="5" t="n">
        <v>1547</v>
      </c>
      <c r="C7" s="5" t="n">
        <v>4629</v>
      </c>
      <c r="D7" s="5" t="n">
        <v>2937.9</v>
      </c>
      <c r="E7" s="8">
        <f>D7/C7</f>
        <v>0.6346727154893066</v>
      </c>
      <c r="F7" s="5" t="n">
        <v>30</v>
      </c>
      <c r="G7" s="7">
        <f>D7*10/B7</f>
        <v>18.990950226244344</v>
      </c>
      <c r="H7" s="5" t="n">
        <v>580</v>
      </c>
      <c r="I7" s="7">
        <f>D7*1000/H7</f>
        <v>5065.3448275862065</v>
      </c>
      <c r="J7" s="4" t="inlineStr">
        <is>
          <t>—</t>
        </is>
      </c>
      <c r="K7" s="4" t="inlineStr">
        <is>
          <t>СВОДКА 100%</t>
        </is>
      </c>
    </row>
    <row r="10">
      <c r="A10" t="inlineStr">
        <is>
          <t>Пояснение</t>
        </is>
      </c>
    </row>
    <row r="11">
      <c r="A11" s="6" t="inlineStr">
        <is>
          <t>Деление накопленного урожая на среднюю численность не даёт дневной производительности. Для кг/человеко-день нужны отработанные человеко-дни за тот же период. Этот столбец — только отношение за период.</t>
        </is>
      </c>
    </row>
    <row r="12"/>
    <row r="13"/>
  </sheetData>
  <autoFilter ref="A1:K7"/>
  <mergeCells count="1">
    <mergeCell ref="A11:K13"/>
  </mergeCells>
  <pageMargins left="0.75" right="0.75" top="1" bottom="1" header="0.5" footer="0.5"/>
  <pageSetup orientation="landscape" paperSize="9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(Агроучасток)</t>
        </is>
      </c>
      <c r="B1" s="3" t="inlineStr">
        <is>
          <t>B (Площадь)</t>
        </is>
      </c>
      <c r="C1" s="3" t="inlineStr">
        <is>
          <t>C (План, т)</t>
        </is>
      </c>
      <c r="D1" s="3" t="inlineStr">
        <is>
          <t>D (Факт, т)</t>
        </is>
      </c>
      <c r="E1" s="3" t="inlineStr">
        <is>
          <t>E (% Выполн)</t>
        </is>
      </c>
      <c r="F1" s="3" t="inlineStr">
        <is>
          <t>F (План ц/га)</t>
        </is>
      </c>
      <c r="G1" s="3" t="inlineStr">
        <is>
          <t>G (Факт ц/га)</t>
        </is>
      </c>
      <c r="H1" s="3" t="inlineStr">
        <is>
          <t>H (Сборщики)</t>
        </is>
      </c>
      <c r="I1" s="3" t="inlineStr">
        <is>
          <t>I (Кг за период / указанную численность)</t>
        </is>
      </c>
      <c r="J1" s="3" t="inlineStr">
        <is>
          <t>J (Риск)</t>
        </is>
      </c>
      <c r="K1" s="3" t="inlineStr">
        <is>
          <t>K (Решение)</t>
        </is>
      </c>
    </row>
    <row r="2" ht="36" customHeight="1">
      <c r="A2" s="4" t="inlineStr">
        <is>
          <t>АУ-1 (Сотрудник 15)</t>
        </is>
      </c>
      <c r="B2" s="5" t="n">
        <v>287</v>
      </c>
      <c r="C2" s="5" t="n">
        <v>861</v>
      </c>
      <c r="D2" s="5" t="n">
        <v>516.6</v>
      </c>
      <c r="E2" s="8">
        <f>D2/C2</f>
        <v>0.6</v>
      </c>
      <c r="F2" s="5" t="n">
        <v>30</v>
      </c>
      <c r="G2" s="7">
        <f>D2*10/B2</f>
        <v>18.0</v>
      </c>
      <c r="H2" s="5" t="n">
        <v>140</v>
      </c>
      <c r="I2" s="7">
        <f>D2*1000/H2</f>
        <v>3690.0</v>
      </c>
      <c r="J2" s="4" t="inlineStr">
        <is>
          <t>УБЫТОК</t>
        </is>
      </c>
      <c r="K2" s="4" t="inlineStr">
        <is>
          <t>Проверить бригады</t>
        </is>
      </c>
    </row>
    <row r="3" ht="36" customHeight="1">
      <c r="A3" s="4" t="inlineStr">
        <is>
          <t>АУ-2 (Сотрудник 21)</t>
        </is>
      </c>
      <c r="B3" s="5" t="n">
        <v>322</v>
      </c>
      <c r="C3" s="5" t="n">
        <v>966</v>
      </c>
      <c r="D3" s="5" t="n">
        <v>811.4</v>
      </c>
      <c r="E3" s="8">
        <f>D3/C3</f>
        <v>0.8399585921325051</v>
      </c>
      <c r="F3" s="5" t="n">
        <v>30</v>
      </c>
      <c r="G3" s="7">
        <f>D3*10/B3</f>
        <v>25.198757763975156</v>
      </c>
      <c r="H3" s="5" t="n">
        <v>160</v>
      </c>
      <c r="I3" s="7">
        <f>D3*1000/H3</f>
        <v>5071.25</v>
      </c>
      <c r="J3" s="4" t="inlineStr">
        <is>
          <t>НОРМА</t>
        </is>
      </c>
      <c r="K3" s="4" t="inlineStr">
        <is>
          <t>Стимулировать сбор</t>
        </is>
      </c>
    </row>
    <row r="4" ht="36" customHeight="1">
      <c r="A4" s="4" t="inlineStr">
        <is>
          <t>АУ-3 (Сотрудник 23)</t>
        </is>
      </c>
      <c r="B4" s="5" t="n">
        <v>300</v>
      </c>
      <c r="C4" s="5" t="n">
        <v>900</v>
      </c>
      <c r="D4" s="5" t="n">
        <v>546</v>
      </c>
      <c r="E4" s="8">
        <f>D4/C4</f>
        <v>0.6066666666666667</v>
      </c>
      <c r="F4" s="5" t="n">
        <v>30</v>
      </c>
      <c r="G4" s="7">
        <f>D4*10/B4</f>
        <v>18.2</v>
      </c>
      <c r="H4" s="5" t="n">
        <v>150</v>
      </c>
      <c r="I4" s="7">
        <f>D4*1000/H4</f>
        <v>3640.0</v>
      </c>
      <c r="J4" s="4" t="inlineStr">
        <is>
          <t>УБЫТОК</t>
        </is>
      </c>
      <c r="K4" s="4" t="inlineStr">
        <is>
          <t>Аудит мех. работ</t>
        </is>
      </c>
    </row>
    <row r="5" ht="36" customHeight="1">
      <c r="A5" s="4" t="inlineStr">
        <is>
          <t>АУ-4 (Сотрудник 03)</t>
        </is>
      </c>
      <c r="B5" s="5" t="n">
        <v>250</v>
      </c>
      <c r="C5" s="5" t="n">
        <v>750</v>
      </c>
      <c r="D5" s="5" t="n">
        <v>995</v>
      </c>
      <c r="E5" s="8">
        <f>D5/C5</f>
        <v>1.3266666666666667</v>
      </c>
      <c r="F5" s="5" t="n">
        <v>30</v>
      </c>
      <c r="G5" s="7">
        <f>D5*10/B5</f>
        <v>39.8</v>
      </c>
      <c r="H5" s="5" t="n">
        <v>110</v>
      </c>
      <c r="I5" s="7">
        <f>D5*1000/H5</f>
        <v>9045.454545454546</v>
      </c>
      <c r="J5" s="4" t="inlineStr">
        <is>
          <t>АНОМАЛИЯ</t>
        </is>
      </c>
      <c r="K5" s="4" t="inlineStr">
        <is>
          <t>Проверка весовой</t>
        </is>
      </c>
    </row>
    <row r="6" ht="36" customHeight="1">
      <c r="A6" s="4" t="inlineStr">
        <is>
          <t>Сектор «Дог-сотруд»</t>
        </is>
      </c>
      <c r="B6" s="5" t="n">
        <v>388</v>
      </c>
      <c r="C6" s="5" t="n">
        <v>1152</v>
      </c>
      <c r="D6" s="5" t="n">
        <v>68.90000000000001</v>
      </c>
      <c r="E6" s="8">
        <f>D6/C6</f>
        <v>0.05980902777777778</v>
      </c>
      <c r="F6" s="5" t="n">
        <v>30</v>
      </c>
      <c r="G6" s="7">
        <f>D6*10/B6</f>
        <v>1.7757731958762886</v>
      </c>
      <c r="H6" s="5" t="n">
        <v>20</v>
      </c>
      <c r="I6" s="7">
        <f>D6*1000/H6</f>
        <v>3445.0</v>
      </c>
      <c r="J6" s="4" t="inlineStr">
        <is>
          <t>УВОД СЫРЦА</t>
        </is>
      </c>
      <c r="K6" s="4" t="inlineStr">
        <is>
          <t>Выезд СЭБ / Запрос</t>
        </is>
      </c>
    </row>
    <row r="7" ht="36" customHeight="1">
      <c r="A7" s="4" t="inlineStr">
        <is>
          <t>ИТОГО ПК</t>
        </is>
      </c>
      <c r="B7" s="5" t="n">
        <v>1547</v>
      </c>
      <c r="C7" s="5" t="n">
        <v>4629</v>
      </c>
      <c r="D7" s="5" t="n">
        <v>2937.9</v>
      </c>
      <c r="E7" s="8">
        <f>D7/C7</f>
        <v>0.6346727154893066</v>
      </c>
      <c r="F7" s="5" t="n">
        <v>30</v>
      </c>
      <c r="G7" s="7">
        <f>D7*10/B7</f>
        <v>18.990950226244344</v>
      </c>
      <c r="H7" s="5" t="n">
        <v>580</v>
      </c>
      <c r="I7" s="7">
        <f>D7*1000/H7</f>
        <v>5065.3448275862065</v>
      </c>
      <c r="J7" s="4" t="inlineStr">
        <is>
          <t>—</t>
        </is>
      </c>
      <c r="K7" s="4" t="inlineStr">
        <is>
          <t>СВОДКА 100%</t>
        </is>
      </c>
    </row>
    <row r="10">
      <c r="A10" t="inlineStr">
        <is>
          <t>Пояснение</t>
        </is>
      </c>
    </row>
    <row r="11">
      <c r="A11" s="6" t="inlineStr">
        <is>
          <t>Деление накопленного урожая на среднюю численность не даёт дневной производительности. Для кг/человеко-день нужны отработанные человеко-дни за тот же период. Этот столбец — только отношение за период.</t>
        </is>
      </c>
    </row>
    <row r="12"/>
    <row r="13"/>
  </sheetData>
  <autoFilter ref="A1:K7"/>
  <mergeCells count="1">
    <mergeCell ref="A11:K13"/>
  </mergeCells>
  <pageMargins left="0.75" right="0.75" top="1" bottom="1" header="0.5" footer="0.5"/>
  <pageSetup orientation="landscape" paperSize="9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(№)</t>
        </is>
      </c>
      <c r="B1" s="3" t="inlineStr">
        <is>
          <t>B (Наименование находки)</t>
        </is>
      </c>
      <c r="C1" s="3" t="inlineStr">
        <is>
          <t>C (Суть аномалии)</t>
        </is>
      </c>
      <c r="D1" s="3" t="inlineStr">
        <is>
          <t>D (Объект риска)</t>
        </is>
      </c>
      <c r="E1" s="3" t="inlineStr">
        <is>
          <t>E (Сумма риска, сом)</t>
        </is>
      </c>
      <c r="F1" s="3" t="inlineStr">
        <is>
          <t>F (Уровень риска)</t>
        </is>
      </c>
      <c r="G1" s="3" t="inlineStr">
        <is>
          <t>G (Метод проверки)</t>
        </is>
      </c>
      <c r="H1" s="3" t="inlineStr">
        <is>
          <t>H (Меры исправления)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(Статус)</t>
        </is>
      </c>
    </row>
    <row r="2" ht="36" customHeight="1">
      <c r="A2" s="5" t="n">
        <v>1</v>
      </c>
      <c r="B2" s="4" t="inlineStr">
        <is>
          <t>Тройная версия Куляба</t>
        </is>
      </c>
      <c r="C2" s="4" t="inlineStr">
        <is>
          <t>Разрыв данных в ×14 раз</t>
        </is>
      </c>
      <c r="D2" s="4" t="inlineStr">
        <is>
          <t>Файл отчётности</t>
        </is>
      </c>
      <c r="E2" s="5" t="n">
        <v>3500000</v>
      </c>
      <c r="F2" s="4" t="inlineStr">
        <is>
          <t>КРИТИЧЕСКИЙ</t>
        </is>
      </c>
      <c r="G2" s="4" t="inlineStr">
        <is>
          <t>Сверка определений и независимых документов</t>
        </is>
      </c>
      <c r="H2" s="4" t="inlineStr">
        <is>
          <t>Архивировать версии; выделить актуальную</t>
        </is>
      </c>
      <c r="I2" s="4" t="inlineStr">
        <is>
          <t>1 день</t>
        </is>
      </c>
      <c r="J2" s="4" t="inlineStr">
        <is>
          <t>Экономист</t>
        </is>
      </c>
      <c r="K2" s="4" t="inlineStr">
        <is>
          <t>В РАБОТЕ</t>
        </is>
      </c>
    </row>
    <row r="3" ht="36" customHeight="1">
      <c r="A3" s="5" t="n">
        <v>2</v>
      </c>
      <c r="B3" s="4" t="inlineStr">
        <is>
          <t>Битые формулы АУ-2</t>
        </is>
      </c>
      <c r="C3" s="4" t="inlineStr">
        <is>
          <t>Потеря 257.5 га в подытоге</t>
        </is>
      </c>
      <c r="D3" s="4" t="inlineStr">
        <is>
          <t>План АУ-2</t>
        </is>
      </c>
      <c r="E3" s="5" t="n">
        <v>5021250</v>
      </c>
      <c r="F3" s="4" t="inlineStr">
        <is>
          <t>КРИТИЧЕСКИЙ</t>
        </is>
      </c>
      <c r="G3" s="4" t="inlineStr">
        <is>
          <t>Сверка определений и независимых документов</t>
        </is>
      </c>
      <c r="H3" s="4" t="inlineStr">
        <is>
          <t>Восстановить =СУММ()</t>
        </is>
      </c>
      <c r="I3" s="4" t="inlineStr">
        <is>
          <t>1 день</t>
        </is>
      </c>
      <c r="J3" s="4" t="inlineStr">
        <is>
          <t>Экономист</t>
        </is>
      </c>
      <c r="K3" s="4" t="inlineStr">
        <is>
          <t>В РАБОТЕ</t>
        </is>
      </c>
    </row>
    <row r="4" ht="36" customHeight="1">
      <c r="A4" s="5" t="n">
        <v>3</v>
      </c>
      <c r="B4" s="4" t="inlineStr">
        <is>
          <t>учебная организация «Контрагент CDDA» (100 га)</t>
        </is>
      </c>
      <c r="C4" s="4" t="inlineStr">
        <is>
          <t>Факт 1.15 ц/га (3.8% плана)</t>
        </is>
      </c>
      <c r="D4" s="4" t="inlineStr">
        <is>
          <t>Договор сотр.</t>
        </is>
      </c>
      <c r="E4" s="5" t="n">
        <v>1700000</v>
      </c>
      <c r="F4" s="4" t="inlineStr">
        <is>
          <t>КРИТИЧЕСКИЙ</t>
        </is>
      </c>
      <c r="G4" s="4" t="inlineStr">
        <is>
          <t>Сверка определений и независимых документов</t>
        </is>
      </c>
      <c r="H4" s="4" t="inlineStr">
        <is>
          <t>Инвентаризация поля</t>
        </is>
      </c>
      <c r="I4" s="4" t="inlineStr">
        <is>
          <t>2 дня</t>
        </is>
      </c>
      <c r="J4" s="4" t="inlineStr">
        <is>
          <t>СБ / Агроном</t>
        </is>
      </c>
      <c r="K4" s="4" t="inlineStr">
        <is>
          <t>В РАБОТЕ</t>
        </is>
      </c>
    </row>
    <row r="5" ht="36" customHeight="1">
      <c r="A5" s="5" t="n">
        <v>4</v>
      </c>
      <c r="B5" s="4" t="inlineStr">
        <is>
          <t>Сотрудник 03(39.77 ц/га)</t>
        </is>
      </c>
      <c r="C5" s="4" t="inlineStr">
        <is>
          <t>Необычно относительно выбранного сравнения</t>
        </is>
      </c>
      <c r="D5" s="4" t="inlineStr">
        <is>
          <t>АУ-4 / Бригада</t>
        </is>
      </c>
      <c r="E5" s="5" t="n">
        <v>100000</v>
      </c>
      <c r="F5" s="4" t="inlineStr">
        <is>
          <t>СРЕДНИЙ</t>
        </is>
      </c>
      <c r="G5" s="4" t="inlineStr">
        <is>
          <t>Сверка определений и независимых документов</t>
        </is>
      </c>
      <c r="H5" s="4" t="inlineStr">
        <is>
          <t>Проверка весовых</t>
        </is>
      </c>
      <c r="I5" s="4" t="inlineStr">
        <is>
          <t>3 дня</t>
        </is>
      </c>
      <c r="J5" s="4" t="inlineStr">
        <is>
          <t>Агроном</t>
        </is>
      </c>
      <c r="K5" s="4" t="inlineStr">
        <is>
          <t>В ПРОЦЕССЕ</t>
        </is>
      </c>
    </row>
    <row r="6" ht="36" customHeight="1">
      <c r="A6" s="5" t="n">
        <v>5</v>
      </c>
      <c r="B6" s="4" t="inlineStr">
        <is>
          <t>Свод vs Детализация</t>
        </is>
      </c>
      <c r="C6" s="4" t="inlineStr">
        <is>
          <t>Расхождение 482,1 т в сопоставляемых данных</t>
        </is>
      </c>
      <c r="D6" s="4" t="inlineStr">
        <is>
          <t>Баланс вала</t>
        </is>
      </c>
      <c r="E6" s="5" t="n">
        <v>3133650</v>
      </c>
      <c r="F6" s="4" t="inlineStr">
        <is>
          <t>КРИТИЧЕСКИЙ</t>
        </is>
      </c>
      <c r="G6" s="4" t="inlineStr">
        <is>
          <t>Сверка определений и независимых документов</t>
        </is>
      </c>
      <c r="H6" s="4" t="inlineStr">
        <is>
          <t>Акт сверки вала</t>
        </is>
      </c>
      <c r="I6" s="4" t="inlineStr">
        <is>
          <t>2 дня</t>
        </is>
      </c>
      <c r="J6" s="4" t="inlineStr">
        <is>
          <t>Гл. бухгалтер</t>
        </is>
      </c>
      <c r="K6" s="4" t="inlineStr">
        <is>
          <t>В РАБОТЕ</t>
        </is>
      </c>
    </row>
    <row r="7" ht="36" customHeight="1">
      <c r="A7" s="5" t="n">
        <v>6</v>
      </c>
      <c r="B7" s="4" t="inlineStr">
        <is>
          <t>Отчёт без даты закрытия</t>
        </is>
      </c>
      <c r="C7" s="4" t="inlineStr">
        <is>
          <t>Дата отчёта 04.01.2026</t>
        </is>
      </c>
      <c r="D7" s="4" t="inlineStr">
        <is>
          <t>Регламент</t>
        </is>
      </c>
      <c r="E7" s="5" t="n">
        <v>0</v>
      </c>
      <c r="F7" s="4" t="inlineStr">
        <is>
          <t>СРЕДНИЙ</t>
        </is>
      </c>
      <c r="G7" s="4" t="inlineStr">
        <is>
          <t>Сверка определений и независимых документов</t>
        </is>
      </c>
      <c r="H7" s="4" t="inlineStr">
        <is>
          <t>Заморозка PDF-архива</t>
        </is>
      </c>
      <c r="I7" s="4" t="inlineStr">
        <is>
          <t>1 день</t>
        </is>
      </c>
      <c r="J7" s="4" t="inlineStr">
        <is>
          <t>ИТ / Экономист</t>
        </is>
      </c>
      <c r="K7" s="4" t="inlineStr">
        <is>
          <t>В РАБОТЕ</t>
        </is>
      </c>
    </row>
    <row r="8" ht="36" customHeight="1">
      <c r="A8" s="5" t="n">
        <v>7</v>
      </c>
      <c r="B8" s="4" t="inlineStr">
        <is>
          <t>Конфликт Сотрудник 03</t>
        </is>
      </c>
      <c r="C8" s="4" t="inlineStr">
        <is>
          <t>Нач. АУ-4 = Бригадир</t>
        </is>
      </c>
      <c r="D8" s="4" t="inlineStr">
        <is>
          <t>Оргструктура</t>
        </is>
      </c>
      <c r="E8" s="5" t="n">
        <v>500000</v>
      </c>
      <c r="F8" s="4" t="inlineStr">
        <is>
          <t>КРИТИЧЕСКИЙ</t>
        </is>
      </c>
      <c r="G8" s="4" t="inlineStr">
        <is>
          <t>Сверка определений и независимых документов</t>
        </is>
      </c>
      <c r="H8" s="4" t="inlineStr">
        <is>
          <t>Передача приёмки АУ-1</t>
        </is>
      </c>
      <c r="I8" s="4" t="inlineStr">
        <is>
          <t>3 дня</t>
        </is>
      </c>
      <c r="J8" s="4" t="inlineStr">
        <is>
          <t>Кадры / Директор</t>
        </is>
      </c>
      <c r="K8" s="4" t="inlineStr">
        <is>
          <t>В ПРОЦЕССЕ</t>
        </is>
      </c>
    </row>
    <row r="9" ht="36" customHeight="1">
      <c r="A9" s="5" t="n">
        <v>8</v>
      </c>
      <c r="B9" s="4" t="inlineStr">
        <is>
          <t>Отказ от подписи Сотрудник 23</t>
        </is>
      </c>
      <c r="C9" s="4" t="inlineStr">
        <is>
          <t>Нет подписи на мех. расц.</t>
        </is>
      </c>
      <c r="D9" s="4" t="inlineStr">
        <is>
          <t>АУ-3 / Юр. дыра</t>
        </is>
      </c>
      <c r="E9" s="5" t="n">
        <v>200000</v>
      </c>
      <c r="F9" s="4" t="inlineStr">
        <is>
          <t>СРЕДНИЙ</t>
        </is>
      </c>
      <c r="G9" s="4" t="inlineStr">
        <is>
          <t>Сверка определений и независимых документов</t>
        </is>
      </c>
      <c r="H9" s="4" t="inlineStr">
        <is>
          <t>Объяснительная записка</t>
        </is>
      </c>
      <c r="I9" s="5" t="n">
        <v>5</v>
      </c>
      <c r="J9" s="4" t="inlineStr">
        <is>
          <t>Юрист</t>
        </is>
      </c>
      <c r="K9" s="4" t="inlineStr">
        <is>
          <t>В ПРОЦЕССЕ</t>
        </is>
      </c>
    </row>
    <row r="10" ht="36" customHeight="1">
      <c r="A10" s="4" t="inlineStr">
        <is>
          <t>ИТОГО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Не суммировать: возможны пересечения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Учебная сверка</t>
        </is>
      </c>
    </row>
    <row r="13">
      <c r="A13" t="inlineStr">
        <is>
          <t>Пояснение</t>
        </is>
      </c>
    </row>
    <row r="14">
      <c r="A14" s="6" t="inlineStr">
        <is>
          <t>Числа — сценарные оценки рисков из разных проверок. Их нельзя суммировать как установленный ущерб: возможны пересечения, разные базы и неполные документы. 39,77 ц/га не является доказанным биологическим максимумом. Исходные версии сохраняют.</t>
        </is>
      </c>
    </row>
    <row r="15"/>
    <row r="16"/>
  </sheetData>
  <autoFilter ref="A1:K10"/>
  <mergeCells count="1">
    <mergeCell ref="A14:K16"/>
  </mergeCells>
  <pageMargins left="0.75" right="0.75" top="1" bottom="1" header="0.5" footer="0.5"/>
  <pageSetup orientation="landscape" paperSize="9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(№)</t>
        </is>
      </c>
      <c r="B1" s="3" t="inlineStr">
        <is>
          <t>B (Находка)</t>
        </is>
      </c>
      <c r="C1" s="3" t="inlineStr">
        <is>
          <t>C (Суть)</t>
        </is>
      </c>
      <c r="D1" s="3" t="inlineStr">
        <is>
          <t>D (Объект)</t>
        </is>
      </c>
      <c r="E1" s="3" t="inlineStr">
        <is>
          <t>E (Сумма, сом)</t>
        </is>
      </c>
      <c r="F1" s="3" t="inlineStr">
        <is>
          <t>F (Риск)</t>
        </is>
      </c>
      <c r="G1" s="3" t="inlineStr">
        <is>
          <t>G (Метод проверки)</t>
        </is>
      </c>
      <c r="H1" s="3" t="inlineStr">
        <is>
          <t>H (Меры)</t>
        </is>
      </c>
      <c r="I1" s="3" t="inlineStr">
        <is>
          <t>I (Срок)</t>
        </is>
      </c>
      <c r="J1" s="3" t="inlineStr">
        <is>
          <t>J (Ответственный)</t>
        </is>
      </c>
      <c r="K1" s="3" t="inlineStr">
        <is>
          <t>K (Статус)</t>
        </is>
      </c>
    </row>
    <row r="2" ht="36" customHeight="1">
      <c r="A2" s="5" t="n">
        <v>1</v>
      </c>
      <c r="B2" s="4" t="inlineStr">
        <is>
          <t>Тройная версия Куляба</t>
        </is>
      </c>
      <c r="C2" s="4" t="inlineStr">
        <is>
          <t>Разрыв в ×14 раз</t>
        </is>
      </c>
      <c r="D2" s="4" t="inlineStr">
        <is>
          <t>Отчётность</t>
        </is>
      </c>
      <c r="E2" s="5" t="n">
        <v>3500000</v>
      </c>
      <c r="F2" s="4" t="inlineStr">
        <is>
          <t>КРИТИЧЕСКИЙ</t>
        </is>
      </c>
      <c r="G2" s="4" t="inlineStr">
        <is>
          <t>Сверка определений и независимых документов</t>
        </is>
      </c>
      <c r="H2" s="4" t="inlineStr">
        <is>
          <t>Удалить старое</t>
        </is>
      </c>
      <c r="I2" s="4" t="inlineStr">
        <is>
          <t>1 день</t>
        </is>
      </c>
      <c r="J2" s="4" t="inlineStr">
        <is>
          <t>Экономист</t>
        </is>
      </c>
      <c r="K2" s="4" t="inlineStr">
        <is>
          <t>В РАБОТЕ</t>
        </is>
      </c>
    </row>
    <row r="3" ht="36" customHeight="1">
      <c r="A3" s="5" t="n">
        <v>2</v>
      </c>
      <c r="B3" s="4" t="inlineStr">
        <is>
          <t>Битые формулы АУ-2</t>
        </is>
      </c>
      <c r="C3" s="4" t="inlineStr">
        <is>
          <t>Потеря 257.5 га</t>
        </is>
      </c>
      <c r="D3" s="4" t="inlineStr">
        <is>
          <t>План АУ-2</t>
        </is>
      </c>
      <c r="E3" s="5" t="n">
        <v>5021250</v>
      </c>
      <c r="F3" s="4" t="inlineStr">
        <is>
          <t>КРИТИЧЕСКИЙ</t>
        </is>
      </c>
      <c r="G3" s="4" t="inlineStr">
        <is>
          <t>Сверка определений и независимых документов</t>
        </is>
      </c>
      <c r="H3" s="4" t="inlineStr">
        <is>
          <t>Восстановить =СУММ()</t>
        </is>
      </c>
      <c r="I3" s="4" t="inlineStr">
        <is>
          <t>1 день</t>
        </is>
      </c>
      <c r="J3" s="4" t="inlineStr">
        <is>
          <t>Экономист</t>
        </is>
      </c>
      <c r="K3" s="4" t="inlineStr">
        <is>
          <t>В РАБОТЕ</t>
        </is>
      </c>
    </row>
    <row r="4" ht="36" customHeight="1">
      <c r="A4" s="5" t="n">
        <v>3</v>
      </c>
      <c r="B4" s="4" t="inlineStr">
        <is>
          <t>учебная организация «Контрагент CDDA» (100 га)</t>
        </is>
      </c>
      <c r="C4" s="4" t="inlineStr">
        <is>
          <t>Факт 1.15 ц/га</t>
        </is>
      </c>
      <c r="D4" s="4" t="inlineStr">
        <is>
          <t>Договор сотр.</t>
        </is>
      </c>
      <c r="E4" s="5" t="n">
        <v>1700000</v>
      </c>
      <c r="F4" s="4" t="inlineStr">
        <is>
          <t>КРИТИЧЕСКИЙ</t>
        </is>
      </c>
      <c r="G4" s="4" t="inlineStr">
        <is>
          <t>Сверка определений и независимых документов</t>
        </is>
      </c>
      <c r="H4" s="4" t="inlineStr">
        <is>
          <t>Инвентаризация</t>
        </is>
      </c>
      <c r="I4" s="4" t="inlineStr">
        <is>
          <t>2 дня</t>
        </is>
      </c>
      <c r="J4" s="4" t="inlineStr">
        <is>
          <t>СБ / Агроном</t>
        </is>
      </c>
      <c r="K4" s="4" t="inlineStr">
        <is>
          <t>В РАБОТЕ</t>
        </is>
      </c>
    </row>
    <row r="5" ht="36" customHeight="1">
      <c r="A5" s="5" t="n">
        <v>4</v>
      </c>
      <c r="B5" s="4" t="inlineStr">
        <is>
          <t>Сотрудник 03(39.77 ц/га)</t>
        </is>
      </c>
      <c r="C5" s="4" t="inlineStr">
        <is>
          <t>Выше био-макс.</t>
        </is>
      </c>
      <c r="D5" s="4" t="inlineStr">
        <is>
          <t>АУ-4 / Бригада</t>
        </is>
      </c>
      <c r="E5" s="5" t="n">
        <v>100000</v>
      </c>
      <c r="F5" s="4" t="inlineStr">
        <is>
          <t>СРЕДНИЙ</t>
        </is>
      </c>
      <c r="G5" s="4" t="inlineStr">
        <is>
          <t>Сверка определений и независимых документов</t>
        </is>
      </c>
      <c r="H5" s="4" t="inlineStr">
        <is>
          <t>Сверка весовых</t>
        </is>
      </c>
      <c r="I5" s="4" t="inlineStr">
        <is>
          <t>3 дня</t>
        </is>
      </c>
      <c r="J5" s="4" t="inlineStr">
        <is>
          <t>Агроном</t>
        </is>
      </c>
      <c r="K5" s="4" t="inlineStr">
        <is>
          <t>В ПРОЦЕССЕ</t>
        </is>
      </c>
    </row>
    <row r="6" ht="36" customHeight="1">
      <c r="A6" s="5" t="n">
        <v>5</v>
      </c>
      <c r="B6" s="4" t="inlineStr">
        <is>
          <t>Свод vs Детализация</t>
        </is>
      </c>
      <c r="C6" s="4" t="inlineStr">
        <is>
          <t>Разрыв на 500 т</t>
        </is>
      </c>
      <c r="D6" s="4" t="inlineStr">
        <is>
          <t>Баланс вала</t>
        </is>
      </c>
      <c r="E6" s="5" t="n">
        <v>3133650</v>
      </c>
      <c r="F6" s="4" t="inlineStr">
        <is>
          <t>КРИТИЧЕСКИЙ</t>
        </is>
      </c>
      <c r="G6" s="4" t="inlineStr">
        <is>
          <t>Сверка определений и независимых документов</t>
        </is>
      </c>
      <c r="H6" s="4" t="inlineStr">
        <is>
          <t>Акт сверки вала</t>
        </is>
      </c>
      <c r="I6" s="4" t="inlineStr">
        <is>
          <t>2 дня</t>
        </is>
      </c>
      <c r="J6" s="4" t="inlineStr">
        <is>
          <t>Гл. бухгалтер</t>
        </is>
      </c>
      <c r="K6" s="4" t="inlineStr">
        <is>
          <t>В РАБОТЕ</t>
        </is>
      </c>
    </row>
    <row r="7" ht="36" customHeight="1">
      <c r="A7" s="5" t="n">
        <v>6</v>
      </c>
      <c r="B7" s="4" t="inlineStr">
        <is>
          <t>Отчёт без даты</t>
        </is>
      </c>
      <c r="C7" s="4" t="inlineStr">
        <is>
          <t>Дата 04.01.2026</t>
        </is>
      </c>
      <c r="D7" s="4" t="inlineStr">
        <is>
          <t>Регламент</t>
        </is>
      </c>
      <c r="E7" s="5" t="n">
        <v>0</v>
      </c>
      <c r="F7" s="4" t="inlineStr">
        <is>
          <t>СРЕДНИЙ</t>
        </is>
      </c>
      <c r="G7" s="4" t="inlineStr">
        <is>
          <t>Сверка определений и независимых документов</t>
        </is>
      </c>
      <c r="H7" s="4" t="inlineStr">
        <is>
          <t>PDF-архив</t>
        </is>
      </c>
      <c r="I7" s="4" t="inlineStr">
        <is>
          <t>1 день</t>
        </is>
      </c>
      <c r="J7" s="4" t="inlineStr">
        <is>
          <t>ИТ / Экономист</t>
        </is>
      </c>
      <c r="K7" s="4" t="inlineStr">
        <is>
          <t>В РАБОТЕ</t>
        </is>
      </c>
    </row>
    <row r="8" ht="36" customHeight="1">
      <c r="A8" s="5" t="n">
        <v>7</v>
      </c>
      <c r="B8" s="4" t="inlineStr">
        <is>
          <t>Конфликт Сотрудник 03</t>
        </is>
      </c>
      <c r="C8" s="4" t="inlineStr">
        <is>
          <t>Нач. АУ = Бригадир</t>
        </is>
      </c>
      <c r="D8" s="4" t="inlineStr">
        <is>
          <t>Оргструктура</t>
        </is>
      </c>
      <c r="E8" s="5" t="n">
        <v>500000</v>
      </c>
      <c r="F8" s="4" t="inlineStr">
        <is>
          <t>КРИТИЧЕСКИЙ</t>
        </is>
      </c>
      <c r="G8" s="4" t="inlineStr">
        <is>
          <t>Сверка определений и независимых документов</t>
        </is>
      </c>
      <c r="H8" s="4" t="inlineStr">
        <is>
          <t>Разделение ролей</t>
        </is>
      </c>
      <c r="I8" s="4" t="inlineStr">
        <is>
          <t>3 дня</t>
        </is>
      </c>
      <c r="J8" s="4" t="inlineStr">
        <is>
          <t>Кадры / Директор</t>
        </is>
      </c>
      <c r="K8" s="4" t="inlineStr">
        <is>
          <t>В ПРОЦЕССЕ</t>
        </is>
      </c>
    </row>
    <row r="9" ht="36" customHeight="1">
      <c r="A9" s="5" t="n">
        <v>8</v>
      </c>
      <c r="B9" s="4" t="inlineStr">
        <is>
          <t>Отказ Сотрудник 23</t>
        </is>
      </c>
      <c r="C9" s="4" t="inlineStr">
        <is>
          <t>Нет подписи мех.</t>
        </is>
      </c>
      <c r="D9" s="4" t="inlineStr">
        <is>
          <t>АУ-3 / Юр. дыра</t>
        </is>
      </c>
      <c r="E9" s="5" t="n">
        <v>200000</v>
      </c>
      <c r="F9" s="4" t="inlineStr">
        <is>
          <t>СРЕДНИЙ</t>
        </is>
      </c>
      <c r="G9" s="4" t="inlineStr">
        <is>
          <t>Сверка определений и независимых документов</t>
        </is>
      </c>
      <c r="H9" s="4" t="inlineStr">
        <is>
          <t>Объяснительная</t>
        </is>
      </c>
      <c r="I9" s="5" t="n">
        <v>5</v>
      </c>
      <c r="J9" s="4" t="inlineStr">
        <is>
          <t>Юрист</t>
        </is>
      </c>
      <c r="K9" s="4" t="inlineStr">
        <is>
          <t>В ПРОЦЕССЕ</t>
        </is>
      </c>
    </row>
    <row r="10" ht="36" customHeight="1">
      <c r="A10" s="4" t="inlineStr">
        <is>
          <t>ИТОГО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Не суммировать: возможны пересечения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Учебная сверка</t>
        </is>
      </c>
    </row>
    <row r="13">
      <c r="A13" t="inlineStr">
        <is>
          <t>Пояснение</t>
        </is>
      </c>
    </row>
    <row r="14">
      <c r="A14" s="6" t="inlineStr">
        <is>
          <t>Числа — сценарные оценки рисков из разных проверок. Их нельзя суммировать как установленный ущерб: возможны пересечения, разные базы и неполные документы. 39,77 ц/га не является доказанным биологическим максимумом. Исходные версии сохраняют.</t>
        </is>
      </c>
    </row>
    <row r="15"/>
    <row r="16"/>
  </sheetData>
  <autoFilter ref="A1:K10"/>
  <mergeCells count="1">
    <mergeCell ref="A14:K16"/>
  </mergeCells>
  <pageMargins left="0.75" right="0.75" top="1" bottom="1" header="0.5" footer="0.5"/>
  <pageSetup orientation="landscape" paperSize="9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Культура</t>
        </is>
      </c>
      <c r="B1" s="3" t="inlineStr">
        <is>
          <t>Площадь, га</t>
        </is>
      </c>
      <c r="C1" s="3" t="inlineStr">
        <is>
          <t>Доля, %</t>
        </is>
      </c>
      <c r="D1" s="3" t="inlineStr">
        <is>
          <t>Экономическая роль</t>
        </is>
      </c>
      <c r="E1" s="3" t="inlineStr">
        <is>
          <t>Маржинальность, %</t>
        </is>
      </c>
    </row>
    <row r="2" ht="36" customHeight="1">
      <c r="A2" s="4" t="inlineStr">
        <is>
          <t>Хлопок-сырец</t>
        </is>
      </c>
      <c r="B2" s="5" t="n">
        <v>1305</v>
      </c>
      <c r="C2" s="4" t="inlineStr">
        <is>
          <t>~73%</t>
        </is>
      </c>
      <c r="D2" s="4" t="inlineStr">
        <is>
          <t>Главная выручка, но тонкая маржа</t>
        </is>
      </c>
      <c r="E2" s="4" t="inlineStr">
        <is>
          <t>~8% (убыток при &lt;22,8 ц/га)</t>
        </is>
      </c>
    </row>
    <row r="3" ht="36" customHeight="1">
      <c r="A3" s="4" t="inlineStr">
        <is>
          <t>Озимая пшеница</t>
        </is>
      </c>
      <c r="B3" s="5" t="n">
        <v>189</v>
      </c>
      <c r="C3" s="4" t="inlineStr">
        <is>
          <t>~11%</t>
        </is>
      </c>
      <c r="D3" s="4" t="inlineStr">
        <is>
          <t>Высокая рентабельность, ранние деньги</t>
        </is>
      </c>
      <c r="E3" s="4" t="inlineStr">
        <is>
          <t>53% (+5 300 сом./га)</t>
        </is>
      </c>
    </row>
    <row r="4" ht="36" customHeight="1">
      <c r="A4" s="4" t="inlineStr">
        <is>
          <t>Ячмень</t>
        </is>
      </c>
      <c r="B4" s="5" t="n">
        <v>104</v>
      </c>
      <c r="C4" s="4" t="inlineStr">
        <is>
          <t>~6%</t>
        </is>
      </c>
      <c r="D4" s="4" t="inlineStr">
        <is>
          <t>Фуражное обеспечение севооборота</t>
        </is>
      </c>
      <c r="E4" s="4" t="inlineStr">
        <is>
          <t>Высокая маржа</t>
        </is>
      </c>
    </row>
    <row r="5" ht="36" customHeight="1">
      <c r="A5" s="4" t="inlineStr">
        <is>
          <t>Люцерна</t>
        </is>
      </c>
      <c r="B5" s="4" t="inlineStr">
        <is>
          <t>~87–199</t>
        </is>
      </c>
      <c r="C5" s="4" t="inlineStr">
        <is>
          <t>~5–11%</t>
        </is>
      </c>
      <c r="D5" s="4" t="inlineStr">
        <is>
          <t>Био-азот (+15–25% к хлопку) + корма</t>
        </is>
      </c>
      <c r="E5" s="4" t="inlineStr">
        <is>
          <t>Высокий спрос на тюки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E5"/>
  <mergeCells count="1">
    <mergeCell ref="A9:E11"/>
  </mergeCells>
  <pageMargins left="0.75" right="0.75" top="1" bottom="1" header="0.5" footer="0.5"/>
  <pageSetup orientation="landscape" paperSize="9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№</t>
        </is>
      </c>
      <c r="B1" s="3" t="inlineStr">
        <is>
          <t>Этап цикла</t>
        </is>
      </c>
      <c r="C1" s="3" t="inlineStr">
        <is>
          <t>Что заносим в Excel-реестр</t>
        </is>
      </c>
      <c r="D1" s="3" t="inlineStr">
        <is>
          <t>Первичный документ Бухгалтерии</t>
        </is>
      </c>
      <c r="E1" s="3" t="inlineStr">
        <is>
          <t>Красный флаг хищения</t>
        </is>
      </c>
    </row>
    <row r="2" ht="36" customHeight="1">
      <c r="A2" s="5" t="n">
        <v>0</v>
      </c>
      <c r="B2" s="4" t="inlineStr">
        <is>
          <t>Норматив</t>
        </is>
      </c>
      <c r="C2" s="4" t="inlineStr">
        <is>
          <t>Площадь (га), плановый урожай, себест./га</t>
        </is>
      </c>
      <c r="D2" s="4" t="inlineStr">
        <is>
          <t>Техкарта, севооборот, калькуляция</t>
        </is>
      </c>
      <c r="E2" s="4" t="inlineStr">
        <is>
          <t>Искусственное занижение плана</t>
        </is>
      </c>
    </row>
    <row r="3" ht="36" customHeight="1">
      <c r="A3" s="5" t="n">
        <v>1</v>
      </c>
      <c r="B3" s="4" t="inlineStr">
        <is>
          <t>Сбор</t>
        </is>
      </c>
      <c r="C3" s="4" t="inlineStr">
        <is>
          <t>Дата, № поля, бригадир, скошено га, объём</t>
        </is>
      </c>
      <c r="D3" s="4" t="inlineStr">
        <is>
          <t>Талон комбайнёра, Весовая ведомость</t>
        </is>
      </c>
      <c r="E3" s="4" t="inlineStr">
        <is>
          <t>Поле убрано, а веса на весовой нет</t>
        </is>
      </c>
    </row>
    <row r="4" ht="36" customHeight="1">
      <c r="A4" s="5" t="n">
        <v>2</v>
      </c>
      <c r="B4" s="4" t="inlineStr">
        <is>
          <t>Обработка</t>
        </is>
      </c>
      <c r="C4" s="4" t="inlineStr">
        <is>
          <t>Сырьё Готовый выход (т, шт. тюков)</t>
        </is>
      </c>
      <c r="D4" s="4" t="inlineStr">
        <is>
          <t>Акт сушки/сортировки, Акт тюкования</t>
        </is>
      </c>
      <c r="E4" s="4" t="inlineStr">
        <is>
          <t>Списание «усушки» сверх нормы</t>
        </is>
      </c>
    </row>
    <row r="5" ht="36" customHeight="1">
      <c r="A5" s="5" t="n">
        <v>3</v>
      </c>
      <c r="B5" s="4" t="inlineStr">
        <is>
          <t>Склад</t>
        </is>
      </c>
      <c r="C5" s="4" t="inlineStr">
        <is>
          <t>Приход, расход, остаток, место хранения</t>
        </is>
      </c>
      <c r="D5" s="4" t="inlineStr">
        <is>
          <t>Приходный ордер, Складская карточка</t>
        </is>
      </c>
      <c r="E5" s="4" t="inlineStr">
        <is>
          <t>Остаток «на бумаге» &gt; факта на складе</t>
        </is>
      </c>
    </row>
    <row r="6" ht="36" customHeight="1">
      <c r="A6" s="5" t="n">
        <v>4</v>
      </c>
      <c r="B6" s="4" t="inlineStr">
        <is>
          <t>Реализация</t>
        </is>
      </c>
      <c r="C6" s="4" t="inlineStr">
        <is>
          <t>Покупатель, объём, цена, сумма продажи</t>
        </is>
      </c>
      <c r="D6" s="4" t="inlineStr">
        <is>
          <t>Договор, Товарная накладная, ТТН</t>
        </is>
      </c>
      <c r="E6" s="4" t="inlineStr">
        <is>
          <t>Продажа «своим» по цене ниже рынка</t>
        </is>
      </c>
    </row>
    <row r="7" ht="36" customHeight="1">
      <c r="A7" s="5" t="n">
        <v>5</v>
      </c>
      <c r="B7" s="4" t="inlineStr">
        <is>
          <t>Деньги</t>
        </is>
      </c>
      <c r="C7" s="4" t="inlineStr">
        <is>
          <t>Оплачено, дебиторский долг, дата оплаты</t>
        </is>
      </c>
      <c r="D7" s="4" t="inlineStr">
        <is>
          <t>Выписка банка, ПКО, Акт сверки</t>
        </is>
      </c>
      <c r="E7" s="4" t="inlineStr">
        <is>
          <t>Продукция отгружена — денег нет</t>
        </is>
      </c>
    </row>
    <row r="8" ht="36" customHeight="1">
      <c r="A8" s="5" t="n">
        <v>6</v>
      </c>
      <c r="B8" s="4" t="inlineStr">
        <is>
          <t>Сверка</t>
        </is>
      </c>
      <c r="C8" s="4" t="inlineStr">
        <is>
          <t>Авто-расчёт контрольного уравнения (Δ)</t>
        </is>
      </c>
      <c r="D8" s="4" t="inlineStr">
        <is>
          <t>Сводный дашборд (лист 06_Сводка)</t>
        </is>
      </c>
      <c r="E8" s="4" t="inlineStr">
        <is>
          <t>Дыра в балансе: Δ ≠ 0918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E8"/>
  <mergeCells count="1">
    <mergeCell ref="A12:E14"/>
  </mergeCells>
  <pageMargins left="0.75" right="0.75" top="1" bottom="1" header="0.5" footer="0.5"/>
  <pageSetup orientation="landscape" paperSize="9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(Культура)</t>
        </is>
      </c>
      <c r="B1" s="3" t="inlineStr">
        <is>
          <t>B (Площадь, га)</t>
        </is>
      </c>
      <c r="C1" s="3" t="inlineStr">
        <is>
          <t>C (Собрано, т/тюков)</t>
        </is>
      </c>
      <c r="D1" s="3" t="inlineStr">
        <is>
          <t>D (Продано, т/тюков)</t>
        </is>
      </c>
      <c r="E1" s="3" t="inlineStr">
        <is>
          <t>E (Склад, т/тюков)</t>
        </is>
      </c>
      <c r="F1" s="3" t="inlineStr">
        <is>
          <t>F (Внутр. расход)</t>
        </is>
      </c>
      <c r="G1" s="3" t="inlineStr">
        <is>
          <t>G (Потери норма)</t>
        </is>
      </c>
      <c r="H1" s="3" t="inlineStr">
        <is>
          <t>H (Дыра Δ, т/тюков)</t>
        </is>
      </c>
      <c r="I1" s="3" t="inlineStr">
        <is>
          <t>I (Выручка, сом)</t>
        </is>
      </c>
      <c r="J1" s="3" t="inlineStr">
        <is>
          <t>J (Себест. всего, сом)</t>
        </is>
      </c>
      <c r="K1" s="3" t="inlineStr">
        <is>
          <t>K (Выручка минус стоимость проданной доли)</t>
        </is>
      </c>
      <c r="L1" s="3" t="inlineStr">
        <is>
          <t>L (Статус Баланса)</t>
        </is>
      </c>
    </row>
    <row r="2" ht="36" customHeight="1">
      <c r="A2" s="4" t="inlineStr">
        <is>
          <t>Люцерна (тюков)</t>
        </is>
      </c>
      <c r="B2" s="5" t="n">
        <v>150</v>
      </c>
      <c r="C2" s="5" t="n">
        <v>2250</v>
      </c>
      <c r="D2" s="5" t="n">
        <v>1500</v>
      </c>
      <c r="E2" s="5" t="n">
        <v>650</v>
      </c>
      <c r="F2" s="5" t="n">
        <v>80</v>
      </c>
      <c r="G2" s="5" t="n">
        <v>20</v>
      </c>
      <c r="H2" s="7">
        <f>C2-(D2+E2+F2+G2)</f>
        <v>0.0</v>
      </c>
      <c r="I2" s="5" t="n">
        <v>33000</v>
      </c>
      <c r="J2" s="5" t="n">
        <v>225000</v>
      </c>
      <c r="K2" s="7">
        <f>I2-J2*D2/C2</f>
        <v>-117000.0</v>
      </c>
      <c r="L2" s="4" t="inlineStr">
        <is>
          <t>БАЛАНС СХОДИТСЯ</t>
        </is>
      </c>
    </row>
    <row r="3" ht="36" customHeight="1">
      <c r="A3" s="4" t="inlineStr">
        <is>
          <t>Ячмень (тонн)</t>
        </is>
      </c>
      <c r="B3" s="5" t="n">
        <v>104</v>
      </c>
      <c r="C3" s="5" t="n">
        <v>228.8</v>
      </c>
      <c r="D3" s="5" t="n">
        <v>150</v>
      </c>
      <c r="E3" s="5" t="n">
        <v>41</v>
      </c>
      <c r="F3" s="5" t="n">
        <v>36</v>
      </c>
      <c r="G3" s="5" t="n">
        <v>1.8</v>
      </c>
      <c r="H3" s="7">
        <f>C3-(D3+E3+F3+G3)</f>
        <v>0.0</v>
      </c>
      <c r="I3" s="5" t="n">
        <v>525000</v>
      </c>
      <c r="J3" s="5" t="n">
        <v>436800</v>
      </c>
      <c r="K3" s="7">
        <f>I3-J3*D3/C3</f>
        <v>238636.36363636365</v>
      </c>
      <c r="L3" s="4" t="inlineStr">
        <is>
          <t>БАЛАНС СХОДИТСЯ</t>
        </is>
      </c>
    </row>
    <row r="4" ht="36" customHeight="1">
      <c r="A4" s="4" t="inlineStr">
        <is>
          <t>Пшеница (тонн)</t>
        </is>
      </c>
      <c r="B4" s="5" t="n">
        <v>189</v>
      </c>
      <c r="C4" s="5" t="n">
        <v>472.5</v>
      </c>
      <c r="D4" s="5" t="n">
        <v>320</v>
      </c>
      <c r="E4" s="5" t="n">
        <v>80</v>
      </c>
      <c r="F4" s="5" t="n">
        <v>67.25</v>
      </c>
      <c r="G4" s="5" t="n">
        <v>3.25</v>
      </c>
      <c r="H4" s="7">
        <f>C4-(D4+E4+F4+G4)</f>
        <v>2.0</v>
      </c>
      <c r="I4" s="5" t="n">
        <v>1280000</v>
      </c>
      <c r="J4" s="5" t="n">
        <v>888300</v>
      </c>
      <c r="K4" s="7">
        <f>I4-J4*D4/C4</f>
        <v>678400.0</v>
      </c>
      <c r="L4" s="4" t="inlineStr">
        <is>
          <t>НЕДОСТАЧА (ДЫРА)</t>
        </is>
      </c>
    </row>
    <row r="5" ht="36" customHeight="1">
      <c r="A5" s="4" t="inlineStr">
        <is>
          <t>Хлопок (план)</t>
        </is>
      </c>
      <c r="B5" s="5" t="n">
        <v>1305</v>
      </c>
      <c r="C5" s="5" t="n">
        <v>3915</v>
      </c>
      <c r="D5" s="5" t="n">
        <v>3915</v>
      </c>
      <c r="E5" s="5" t="n">
        <v>0</v>
      </c>
      <c r="F5" s="5" t="n">
        <v>0</v>
      </c>
      <c r="G5" s="5" t="n">
        <v>0</v>
      </c>
      <c r="H5" s="7">
        <f>C5-(D5+E5+F5+G5)</f>
        <v>0.0</v>
      </c>
      <c r="I5" s="5" t="n">
        <v>25447500</v>
      </c>
      <c r="J5" s="5" t="n">
        <v>19314000</v>
      </c>
      <c r="K5" s="7">
        <f>I5-J5*D5/C5</f>
        <v>6133500.0</v>
      </c>
      <c r="L5" s="4" t="inlineStr">
        <is>
          <t>БАЛАНС СХОДИТСЯ</t>
        </is>
      </c>
    </row>
    <row r="6" ht="36" customHeight="1">
      <c r="A6" s="4" t="inlineStr">
        <is>
          <t>ИТОГО</t>
        </is>
      </c>
      <c r="B6" s="5" t="n">
        <v>1748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Несопоставимые единицы</t>
        </is>
      </c>
      <c r="I6" s="7">
        <f>SUM(I2:I5)</f>
        <v>27285500.0</v>
      </c>
      <c r="J6" s="7">
        <f>SUM(J2:J5)</f>
        <v>20864100.0</v>
      </c>
      <c r="K6" s="7">
        <f>SUM(K2:K5)</f>
        <v>6933536.363636363</v>
      </c>
      <c r="L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Для иллюстрации одинаковая себестоимость распределена на весь собранный объём: стоимость проданного = общие затраты × продано / собрано. Остаток не списывается целиком против выручки периода. Фактический учёт потерь, побочной продукции и внутреннего использования требует отдельных правил. Тонны и тюки не складываются.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(Культура)</t>
        </is>
      </c>
      <c r="B1" s="3" t="inlineStr">
        <is>
          <t>B (Площадь)</t>
        </is>
      </c>
      <c r="C1" s="3" t="inlineStr">
        <is>
          <t>C (Собрано)</t>
        </is>
      </c>
      <c r="D1" s="3" t="inlineStr">
        <is>
          <t>D (Продано)</t>
        </is>
      </c>
      <c r="E1" s="3" t="inlineStr">
        <is>
          <t>E (Склад)</t>
        </is>
      </c>
      <c r="F1" s="3" t="inlineStr">
        <is>
          <t>F (Внутр.)</t>
        </is>
      </c>
      <c r="G1" s="3" t="inlineStr">
        <is>
          <t>G (Потери)</t>
        </is>
      </c>
      <c r="H1" s="3" t="inlineStr">
        <is>
          <t>H (Дыра Δ)</t>
        </is>
      </c>
      <c r="I1" s="3" t="inlineStr">
        <is>
          <t>I (Выручка)</t>
        </is>
      </c>
      <c r="J1" s="3" t="inlineStr">
        <is>
          <t>J (Себест.)</t>
        </is>
      </c>
      <c r="K1" s="3" t="inlineStr">
        <is>
          <t>K (Выручка минус стоимость проданной доли)</t>
        </is>
      </c>
      <c r="L1" s="3" t="inlineStr">
        <is>
          <t>L (Статус)</t>
        </is>
      </c>
    </row>
    <row r="2" ht="36" customHeight="1">
      <c r="A2" s="4" t="inlineStr">
        <is>
          <t>Люцерна (тюков)</t>
        </is>
      </c>
      <c r="B2" s="5" t="n">
        <v>150</v>
      </c>
      <c r="C2" s="5" t="n">
        <v>2250</v>
      </c>
      <c r="D2" s="5" t="n">
        <v>1500</v>
      </c>
      <c r="E2" s="5" t="n">
        <v>650</v>
      </c>
      <c r="F2" s="5" t="n">
        <v>80</v>
      </c>
      <c r="G2" s="5" t="n">
        <v>20</v>
      </c>
      <c r="H2" s="7">
        <f>C2-(D2+E2+F2+G2)</f>
        <v>0.0</v>
      </c>
      <c r="I2" s="5" t="n">
        <v>33000</v>
      </c>
      <c r="J2" s="5" t="n">
        <v>225000</v>
      </c>
      <c r="K2" s="7">
        <f>I2-J2*D2/C2</f>
        <v>-117000.0</v>
      </c>
      <c r="L2" s="4" t="inlineStr">
        <is>
          <t>БАЛАНС СХОДИТСЯ</t>
        </is>
      </c>
    </row>
    <row r="3" ht="36" customHeight="1">
      <c r="A3" s="4" t="inlineStr">
        <is>
          <t>Ячмень (тонн)</t>
        </is>
      </c>
      <c r="B3" s="5" t="n">
        <v>104</v>
      </c>
      <c r="C3" s="5" t="n">
        <v>228.8</v>
      </c>
      <c r="D3" s="5" t="n">
        <v>150</v>
      </c>
      <c r="E3" s="5" t="n">
        <v>41</v>
      </c>
      <c r="F3" s="5" t="n">
        <v>36</v>
      </c>
      <c r="G3" s="5" t="n">
        <v>1.8</v>
      </c>
      <c r="H3" s="7">
        <f>C3-(D3+E3+F3+G3)</f>
        <v>0.0</v>
      </c>
      <c r="I3" s="5" t="n">
        <v>525000</v>
      </c>
      <c r="J3" s="5" t="n">
        <v>436800</v>
      </c>
      <c r="K3" s="7">
        <f>I3-J3*D3/C3</f>
        <v>238636.36363636365</v>
      </c>
      <c r="L3" s="4" t="inlineStr">
        <is>
          <t>БАЛАНС СХОДИТСЯ</t>
        </is>
      </c>
    </row>
    <row r="4" ht="36" customHeight="1">
      <c r="A4" s="4" t="inlineStr">
        <is>
          <t>Пшеница (тонн)</t>
        </is>
      </c>
      <c r="B4" s="5" t="n">
        <v>189</v>
      </c>
      <c r="C4" s="5" t="n">
        <v>472.5</v>
      </c>
      <c r="D4" s="5" t="n">
        <v>320</v>
      </c>
      <c r="E4" s="5" t="n">
        <v>80</v>
      </c>
      <c r="F4" s="5" t="n">
        <v>67.25</v>
      </c>
      <c r="G4" s="5" t="n">
        <v>3.25</v>
      </c>
      <c r="H4" s="7">
        <f>C4-(D4+E4+F4+G4)</f>
        <v>2.0</v>
      </c>
      <c r="I4" s="5" t="n">
        <v>1280000</v>
      </c>
      <c r="J4" s="5" t="n">
        <v>888300</v>
      </c>
      <c r="K4" s="7">
        <f>I4-J4*D4/C4</f>
        <v>678400.0</v>
      </c>
      <c r="L4" s="4" t="inlineStr">
        <is>
          <t>НЕДОСТАЧА (ДЫРА)</t>
        </is>
      </c>
    </row>
    <row r="5" ht="36" customHeight="1">
      <c r="A5" s="4" t="inlineStr">
        <is>
          <t>Хлопок (план)</t>
        </is>
      </c>
      <c r="B5" s="5" t="n">
        <v>1305</v>
      </c>
      <c r="C5" s="5" t="n">
        <v>3915</v>
      </c>
      <c r="D5" s="5" t="n">
        <v>3915</v>
      </c>
      <c r="E5" s="5" t="n">
        <v>0</v>
      </c>
      <c r="F5" s="5" t="n">
        <v>0</v>
      </c>
      <c r="G5" s="5" t="n">
        <v>0</v>
      </c>
      <c r="H5" s="7">
        <f>C5-(D5+E5+F5+G5)</f>
        <v>0.0</v>
      </c>
      <c r="I5" s="5" t="n">
        <v>25447500</v>
      </c>
      <c r="J5" s="5" t="n">
        <v>19314000</v>
      </c>
      <c r="K5" s="7">
        <f>I5-J5*D5/C5</f>
        <v>6133500.0</v>
      </c>
      <c r="L5" s="4" t="inlineStr">
        <is>
          <t>БАЛАНС СХОДИТСЯ</t>
        </is>
      </c>
    </row>
    <row r="6" ht="36" customHeight="1">
      <c r="A6" s="4" t="inlineStr">
        <is>
          <t>ИТОГО</t>
        </is>
      </c>
      <c r="B6" s="5" t="n">
        <v>1748</v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Несопоставимые единицы</t>
        </is>
      </c>
      <c r="I6" s="7">
        <f>SUM(I2:I5)</f>
        <v>27285500.0</v>
      </c>
      <c r="J6" s="7">
        <f>SUM(J2:J5)</f>
        <v>20864100.0</v>
      </c>
      <c r="K6" s="7">
        <f>SUM(K2:K5)</f>
        <v>6933536.363636363</v>
      </c>
      <c r="L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Для иллюстрации одинаковая себестоимость распределена на весь собранный объём: стоимость проданного = общие затраты × продано / собрано. Остаток не списывается целиком против выручки периода. Фактический учёт потерь, побочной продукции и внутреннего использования требует отдельных правил. Тонны и тюки не складываются.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(Укос / АУ)</t>
        </is>
      </c>
      <c r="B1" s="3" t="inlineStr">
        <is>
          <t>B (Скошено, га)</t>
        </is>
      </c>
      <c r="C1" s="3" t="inlineStr">
        <is>
          <t>C (Тюков, шт)</t>
        </is>
      </c>
      <c r="D1" s="3" t="inlineStr">
        <is>
          <t>D (Ср. вес, кг)</t>
        </is>
      </c>
      <c r="E1" s="3" t="inlineStr">
        <is>
          <t>E (Тоннаж, т)</t>
        </is>
      </c>
      <c r="F1" s="3" t="inlineStr">
        <is>
          <t>F (Продано, шт)</t>
        </is>
      </c>
      <c r="G1" s="3" t="inlineStr">
        <is>
          <t>G (Цена, сом)</t>
        </is>
      </c>
      <c r="H1" s="3" t="inlineStr">
        <is>
          <t>H (Выручка, сом)</t>
        </is>
      </c>
      <c r="I1" s="3" t="inlineStr">
        <is>
          <t>I (Склад, шт)</t>
        </is>
      </c>
      <c r="J1" s="3" t="inlineStr">
        <is>
          <t>J (Корм, шт)</t>
        </is>
      </c>
      <c r="K1" s="3" t="inlineStr">
        <is>
          <t>K (Дыра Δ, шт)</t>
        </is>
      </c>
      <c r="L1" s="3" t="inlineStr">
        <is>
          <t>L (Статус Баланса)</t>
        </is>
      </c>
    </row>
    <row r="2" ht="36" customHeight="1">
      <c r="A2" s="4" t="inlineStr">
        <is>
          <t>Укос 1 (АУ-1)</t>
        </is>
      </c>
      <c r="B2" s="5" t="n">
        <v>53</v>
      </c>
      <c r="C2" s="5" t="n">
        <v>1060</v>
      </c>
      <c r="D2" s="5" t="n">
        <v>18</v>
      </c>
      <c r="E2" s="7">
        <f>C2*D2/1000</f>
        <v>19.08</v>
      </c>
      <c r="F2" s="5" t="n">
        <v>700</v>
      </c>
      <c r="G2" s="5" t="n">
        <v>22</v>
      </c>
      <c r="H2" s="7">
        <f>F2*G2</f>
        <v>15400.0</v>
      </c>
      <c r="I2" s="5" t="n">
        <v>310</v>
      </c>
      <c r="J2" s="5" t="n">
        <v>40</v>
      </c>
      <c r="K2" s="7">
        <f>C2-(F2+I2+J2)</f>
        <v>10.0</v>
      </c>
      <c r="L2" s="4" t="inlineStr">
        <is>
          <t>УТРУСКА / ПРОВЕРКА</t>
        </is>
      </c>
    </row>
    <row r="3" ht="36" customHeight="1">
      <c r="A3" s="4" t="inlineStr">
        <is>
          <t>Укос 1 (АУ-2)</t>
        </is>
      </c>
      <c r="B3" s="5" t="n">
        <v>40</v>
      </c>
      <c r="C3" s="5" t="n">
        <v>800</v>
      </c>
      <c r="D3" s="5" t="n">
        <v>18</v>
      </c>
      <c r="E3" s="7">
        <f>C3*D3/1000</f>
        <v>14.4</v>
      </c>
      <c r="F3" s="5" t="n">
        <v>500</v>
      </c>
      <c r="G3" s="5" t="n">
        <v>22</v>
      </c>
      <c r="H3" s="7">
        <f>F3*G3</f>
        <v>11000.0</v>
      </c>
      <c r="I3" s="5" t="n">
        <v>270</v>
      </c>
      <c r="J3" s="5" t="n">
        <v>30</v>
      </c>
      <c r="K3" s="7">
        <f>C3-(F3+I3+J3)</f>
        <v>0.0</v>
      </c>
      <c r="L3" s="4" t="inlineStr">
        <is>
          <t>БАЛАНС СХОДИТСЯ</t>
        </is>
      </c>
    </row>
    <row r="4" ht="36" customHeight="1">
      <c r="A4" s="4" t="inlineStr">
        <is>
          <t>Укос 1 (АУ-3)</t>
        </is>
      </c>
      <c r="B4" s="5" t="n">
        <v>35</v>
      </c>
      <c r="C4" s="5" t="n">
        <v>630</v>
      </c>
      <c r="D4" s="5" t="n">
        <v>17</v>
      </c>
      <c r="E4" s="7">
        <f>C4*D4/1000</f>
        <v>10.71</v>
      </c>
      <c r="F4" s="5" t="n">
        <v>400</v>
      </c>
      <c r="G4" s="5" t="n">
        <v>22</v>
      </c>
      <c r="H4" s="7">
        <f>F4*G4</f>
        <v>8800.0</v>
      </c>
      <c r="I4" s="5" t="n">
        <v>200</v>
      </c>
      <c r="J4" s="5" t="n">
        <v>20</v>
      </c>
      <c r="K4" s="7">
        <f>C4-(F4+I4+J4)</f>
        <v>10.0</v>
      </c>
      <c r="L4" s="4" t="inlineStr">
        <is>
          <t>НЕДОСТАЧА (ДЫРА)</t>
        </is>
      </c>
    </row>
    <row r="5" ht="36" customHeight="1">
      <c r="A5" s="4" t="inlineStr">
        <is>
          <t>Укос 1 (АУ-4)</t>
        </is>
      </c>
      <c r="B5" s="5" t="n">
        <v>22</v>
      </c>
      <c r="C5" s="5" t="n">
        <v>440</v>
      </c>
      <c r="D5" s="5" t="n">
        <v>18</v>
      </c>
      <c r="E5" s="7">
        <f>C5*D5/1000</f>
        <v>7.92</v>
      </c>
      <c r="F5" s="5" t="n">
        <v>300</v>
      </c>
      <c r="G5" s="5" t="n">
        <v>22</v>
      </c>
      <c r="H5" s="7">
        <f>F5*G5</f>
        <v>6600.0</v>
      </c>
      <c r="I5" s="5" t="n">
        <v>130</v>
      </c>
      <c r="J5" s="5" t="n">
        <v>10</v>
      </c>
      <c r="K5" s="7">
        <f>C5-(F5+I5+J5)</f>
        <v>0.0</v>
      </c>
      <c r="L5" s="4" t="inlineStr">
        <is>
          <t>БАЛАНС СХОДИТСЯ</t>
        </is>
      </c>
    </row>
    <row r="6" ht="36" customHeight="1">
      <c r="A6" s="4" t="inlineStr">
        <is>
          <t>ИТОГО</t>
        </is>
      </c>
      <c r="B6" s="5" t="n">
        <v>150</v>
      </c>
      <c r="C6" s="5" t="n">
        <v>2930</v>
      </c>
      <c r="D6" s="4" t="inlineStr">
        <is>
          <t>—</t>
        </is>
      </c>
      <c r="E6" s="7">
        <f>SUM(E2:E5)</f>
        <v>52.11</v>
      </c>
      <c r="F6" s="5" t="n">
        <v>1900</v>
      </c>
      <c r="G6" s="4" t="inlineStr">
        <is>
          <t>—</t>
        </is>
      </c>
      <c r="H6" s="7">
        <f>SUM(H2:H5)</f>
        <v>41800.0</v>
      </c>
      <c r="I6" s="5" t="n">
        <v>910</v>
      </c>
      <c r="J6" s="5" t="n">
        <v>100</v>
      </c>
      <c r="K6" s="7">
        <f>SUM(K2:K5)</f>
        <v>20.0</v>
      </c>
      <c r="L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(Укос)</t>
        </is>
      </c>
      <c r="B1" s="3" t="inlineStr">
        <is>
          <t>B (Скошено)</t>
        </is>
      </c>
      <c r="C1" s="3" t="inlineStr">
        <is>
          <t>C (Тюков)</t>
        </is>
      </c>
      <c r="D1" s="3" t="inlineStr">
        <is>
          <t>D (Ср. вес)</t>
        </is>
      </c>
      <c r="E1" s="3" t="inlineStr">
        <is>
          <t>E (Тоннаж)</t>
        </is>
      </c>
      <c r="F1" s="3" t="inlineStr">
        <is>
          <t>F (Продано)</t>
        </is>
      </c>
      <c r="G1" s="3" t="inlineStr">
        <is>
          <t>G (Цена)</t>
        </is>
      </c>
      <c r="H1" s="3" t="inlineStr">
        <is>
          <t>H (Выручка)</t>
        </is>
      </c>
      <c r="I1" s="3" t="inlineStr">
        <is>
          <t>I (Склад)</t>
        </is>
      </c>
      <c r="J1" s="3" t="inlineStr">
        <is>
          <t>J (Корм)</t>
        </is>
      </c>
      <c r="K1" s="3" t="inlineStr">
        <is>
          <t>K (Дыра Δ)</t>
        </is>
      </c>
      <c r="L1" s="3" t="inlineStr">
        <is>
          <t>L (Статус)</t>
        </is>
      </c>
    </row>
    <row r="2" ht="36" customHeight="1">
      <c r="A2" s="4" t="inlineStr">
        <is>
          <t>Укос 1 (АУ-1)</t>
        </is>
      </c>
      <c r="B2" s="5" t="n">
        <v>53</v>
      </c>
      <c r="C2" s="5" t="n">
        <v>1060</v>
      </c>
      <c r="D2" s="5" t="n">
        <v>18</v>
      </c>
      <c r="E2" s="7">
        <f>C2*D2/1000</f>
        <v>19.08</v>
      </c>
      <c r="F2" s="5" t="n">
        <v>700</v>
      </c>
      <c r="G2" s="5" t="n">
        <v>22</v>
      </c>
      <c r="H2" s="7">
        <f>F2*G2</f>
        <v>15400.0</v>
      </c>
      <c r="I2" s="5" t="n">
        <v>310</v>
      </c>
      <c r="J2" s="5" t="n">
        <v>40</v>
      </c>
      <c r="K2" s="7">
        <f>C2-(F2+I2+J2)</f>
        <v>10.0</v>
      </c>
      <c r="L2" s="4" t="inlineStr">
        <is>
          <t>УТРУСКА / ПРОВЕРКА</t>
        </is>
      </c>
    </row>
    <row r="3" ht="36" customHeight="1">
      <c r="A3" s="4" t="inlineStr">
        <is>
          <t>Укос 1 (АУ-2)</t>
        </is>
      </c>
      <c r="B3" s="5" t="n">
        <v>40</v>
      </c>
      <c r="C3" s="5" t="n">
        <v>800</v>
      </c>
      <c r="D3" s="5" t="n">
        <v>18</v>
      </c>
      <c r="E3" s="7">
        <f>C3*D3/1000</f>
        <v>14.4</v>
      </c>
      <c r="F3" s="5" t="n">
        <v>500</v>
      </c>
      <c r="G3" s="5" t="n">
        <v>22</v>
      </c>
      <c r="H3" s="7">
        <f>F3*G3</f>
        <v>11000.0</v>
      </c>
      <c r="I3" s="5" t="n">
        <v>270</v>
      </c>
      <c r="J3" s="5" t="n">
        <v>30</v>
      </c>
      <c r="K3" s="7">
        <f>C3-(F3+I3+J3)</f>
        <v>0.0</v>
      </c>
      <c r="L3" s="4" t="inlineStr">
        <is>
          <t>БАЛАНС СХОДИТСЯ</t>
        </is>
      </c>
    </row>
    <row r="4" ht="36" customHeight="1">
      <c r="A4" s="4" t="inlineStr">
        <is>
          <t>Укос 1 (АУ-3)</t>
        </is>
      </c>
      <c r="B4" s="5" t="n">
        <v>35</v>
      </c>
      <c r="C4" s="5" t="n">
        <v>630</v>
      </c>
      <c r="D4" s="5" t="n">
        <v>17</v>
      </c>
      <c r="E4" s="7">
        <f>C4*D4/1000</f>
        <v>10.71</v>
      </c>
      <c r="F4" s="5" t="n">
        <v>400</v>
      </c>
      <c r="G4" s="5" t="n">
        <v>22</v>
      </c>
      <c r="H4" s="7">
        <f>F4*G4</f>
        <v>8800.0</v>
      </c>
      <c r="I4" s="5" t="n">
        <v>200</v>
      </c>
      <c r="J4" s="5" t="n">
        <v>20</v>
      </c>
      <c r="K4" s="7">
        <f>C4-(F4+I4+J4)</f>
        <v>10.0</v>
      </c>
      <c r="L4" s="4" t="inlineStr">
        <is>
          <t>НЕДОСТАЧА (ДЫРА)</t>
        </is>
      </c>
    </row>
    <row r="5" ht="36" customHeight="1">
      <c r="A5" s="4" t="inlineStr">
        <is>
          <t>Укос 1 (АУ-4)</t>
        </is>
      </c>
      <c r="B5" s="5" t="n">
        <v>22</v>
      </c>
      <c r="C5" s="5" t="n">
        <v>440</v>
      </c>
      <c r="D5" s="5" t="n">
        <v>18</v>
      </c>
      <c r="E5" s="7">
        <f>C5*D5/1000</f>
        <v>7.92</v>
      </c>
      <c r="F5" s="5" t="n">
        <v>300</v>
      </c>
      <c r="G5" s="5" t="n">
        <v>22</v>
      </c>
      <c r="H5" s="7">
        <f>F5*G5</f>
        <v>6600.0</v>
      </c>
      <c r="I5" s="5" t="n">
        <v>130</v>
      </c>
      <c r="J5" s="5" t="n">
        <v>10</v>
      </c>
      <c r="K5" s="7">
        <f>C5-(F5+I5+J5)</f>
        <v>0.0</v>
      </c>
      <c r="L5" s="4" t="inlineStr">
        <is>
          <t>БАЛАНС СХОДИТСЯ</t>
        </is>
      </c>
    </row>
    <row r="6" ht="36" customHeight="1">
      <c r="A6" s="4" t="inlineStr">
        <is>
          <t>ИТОГО</t>
        </is>
      </c>
      <c r="B6" s="5" t="n">
        <v>150</v>
      </c>
      <c r="C6" s="5" t="n">
        <v>2930</v>
      </c>
      <c r="D6" s="4" t="inlineStr">
        <is>
          <t>—</t>
        </is>
      </c>
      <c r="E6" s="7">
        <f>SUM(E2:E5)</f>
        <v>52.11</v>
      </c>
      <c r="F6" s="5" t="n">
        <v>1900</v>
      </c>
      <c r="G6" s="4" t="inlineStr">
        <is>
          <t>—</t>
        </is>
      </c>
      <c r="H6" s="7">
        <f>SUM(H2:H5)</f>
        <v>41800.0</v>
      </c>
      <c r="I6" s="5" t="n">
        <v>910</v>
      </c>
      <c r="J6" s="5" t="n">
        <v>100</v>
      </c>
      <c r="K6" s="7">
        <f>SUM(K2:K5)</f>
        <v>20.0</v>
      </c>
      <c r="L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(Агроучасток)</t>
        </is>
      </c>
      <c r="B1" s="3" t="inlineStr">
        <is>
          <t>B (Площадь, га)</t>
        </is>
      </c>
      <c r="C1" s="3" t="inlineStr">
        <is>
          <t>C (Намолот, т)</t>
        </is>
      </c>
      <c r="D1" s="3" t="inlineStr">
        <is>
          <t>D (Урожайность, ц/га)</t>
        </is>
      </c>
      <c r="E1" s="3" t="inlineStr">
        <is>
          <t>E (Продано, т)</t>
        </is>
      </c>
      <c r="F1" s="3" t="inlineStr">
        <is>
          <t>F (Цена, сом/кг)</t>
        </is>
      </c>
      <c r="G1" s="3" t="inlineStr">
        <is>
          <t>G (Выручка, сом)</t>
        </is>
      </c>
      <c r="H1" s="3" t="inlineStr">
        <is>
          <t>H (Склад, т)</t>
        </is>
      </c>
      <c r="I1" s="3" t="inlineStr">
        <is>
          <t>I (Семена/Корм, т)</t>
        </is>
      </c>
      <c r="J1" s="3" t="inlineStr">
        <is>
          <t>J (Потери, т)</t>
        </is>
      </c>
      <c r="K1" s="3" t="inlineStr">
        <is>
          <t>K (Дыра Δ, т)</t>
        </is>
      </c>
      <c r="L1" s="3" t="inlineStr">
        <is>
          <t>L (Статус Баланса)</t>
        </is>
      </c>
    </row>
    <row r="2" ht="36" customHeight="1">
      <c r="A2" s="4" t="inlineStr">
        <is>
          <t>АУ-2</t>
        </is>
      </c>
      <c r="B2" s="5" t="n">
        <v>3.5</v>
      </c>
      <c r="C2" s="5" t="n">
        <v>7.7</v>
      </c>
      <c r="D2" s="7">
        <f>C2*10/B2</f>
        <v>22.0</v>
      </c>
      <c r="E2" s="5" t="n">
        <v>5</v>
      </c>
      <c r="F2" s="5" t="n">
        <v>3.5</v>
      </c>
      <c r="G2" s="7">
        <f>E2*1000*F2</f>
        <v>17500.0</v>
      </c>
      <c r="H2" s="5" t="n">
        <v>1.5</v>
      </c>
      <c r="I2" s="5" t="n">
        <v>1</v>
      </c>
      <c r="J2" s="5" t="n">
        <v>0.2</v>
      </c>
      <c r="K2" s="7">
        <f>C2-(E2+H2+I2+J2)</f>
        <v>0.0</v>
      </c>
      <c r="L2" s="4" t="inlineStr">
        <is>
          <t>БАЛАНС СХОДИТСЯ</t>
        </is>
      </c>
    </row>
    <row r="3" ht="36" customHeight="1">
      <c r="A3" s="4" t="inlineStr">
        <is>
          <t>АУ-3</t>
        </is>
      </c>
      <c r="B3" s="5" t="n">
        <v>45.87</v>
      </c>
      <c r="C3" s="5" t="n">
        <v>100.91</v>
      </c>
      <c r="D3" s="7">
        <f>C3*10/B3</f>
        <v>21.99912797035099</v>
      </c>
      <c r="E3" s="5" t="n">
        <v>65</v>
      </c>
      <c r="F3" s="5" t="n">
        <v>3.5</v>
      </c>
      <c r="G3" s="7">
        <f>E3*1000*F3</f>
        <v>227500.0</v>
      </c>
      <c r="H3" s="5" t="n">
        <v>19</v>
      </c>
      <c r="I3" s="5" t="n">
        <v>16</v>
      </c>
      <c r="J3" s="5" t="n">
        <v>0.91</v>
      </c>
      <c r="K3" s="7">
        <f>C3-(E3+H3+I3+J3)</f>
        <v>0.0</v>
      </c>
      <c r="L3" s="4" t="inlineStr">
        <is>
          <t>БАЛАНС СХОДИТСЯ</t>
        </is>
      </c>
    </row>
    <row r="4" ht="36" customHeight="1">
      <c r="A4" s="4" t="inlineStr">
        <is>
          <t>АУ-4</t>
        </is>
      </c>
      <c r="B4" s="5" t="n">
        <v>54.8</v>
      </c>
      <c r="C4" s="5" t="n">
        <v>120.56</v>
      </c>
      <c r="D4" s="7">
        <f>C4*10/B4</f>
        <v>22.0</v>
      </c>
      <c r="E4" s="5" t="n">
        <v>80</v>
      </c>
      <c r="F4" s="5" t="n">
        <v>3.5</v>
      </c>
      <c r="G4" s="7">
        <f>E4*1000*F4</f>
        <v>280000.0</v>
      </c>
      <c r="H4" s="5" t="n">
        <v>20.5</v>
      </c>
      <c r="I4" s="5" t="n">
        <v>19</v>
      </c>
      <c r="J4" s="5" t="n">
        <v>1.06</v>
      </c>
      <c r="K4" s="7">
        <f>C4-(E4+H4+I4+J4)</f>
        <v>0.0</v>
      </c>
      <c r="L4" s="4" t="inlineStr">
        <is>
          <t>БАЛАНС СХОДИТСЯ</t>
        </is>
      </c>
    </row>
    <row r="5" ht="36" customHeight="1">
      <c r="A5" s="4" t="inlineStr">
        <is>
          <t>ИТОГО</t>
        </is>
      </c>
      <c r="B5" s="5" t="n">
        <v>104.17</v>
      </c>
      <c r="C5" s="5" t="n">
        <v>229.17</v>
      </c>
      <c r="D5" s="7">
        <f>C5*10/B5</f>
        <v>21.999616012287603</v>
      </c>
      <c r="E5" s="5" t="n">
        <v>150</v>
      </c>
      <c r="F5" s="4" t="inlineStr">
        <is>
          <t>—</t>
        </is>
      </c>
      <c r="G5" s="7">
        <f>SUM(G2:G4)</f>
        <v>525000.0</v>
      </c>
      <c r="H5" s="5" t="n">
        <v>41</v>
      </c>
      <c r="I5" s="5" t="n">
        <v>36</v>
      </c>
      <c r="J5" s="5" t="n">
        <v>2.17</v>
      </c>
      <c r="K5" s="7">
        <f>SUM(K2:K4)</f>
        <v>0.0</v>
      </c>
      <c r="L5" s="4" t="inlineStr">
        <is>
          <t>Учебная сверка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L5"/>
  <mergeCells count="1">
    <mergeCell ref="A9:L11"/>
  </mergeCells>
  <pageMargins left="0.75" right="0.75" top="1" bottom="1" header="0.5" footer="0.5"/>
  <pageSetup orientation="landscape" paperSize="9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(АУ)</t>
        </is>
      </c>
      <c r="B1" s="3" t="inlineStr">
        <is>
          <t>B (Площадь)</t>
        </is>
      </c>
      <c r="C1" s="3" t="inlineStr">
        <is>
          <t>C (Намолот)</t>
        </is>
      </c>
      <c r="D1" s="3" t="inlineStr">
        <is>
          <t>D (Урожайность)</t>
        </is>
      </c>
      <c r="E1" s="3" t="inlineStr">
        <is>
          <t>E (Продано)</t>
        </is>
      </c>
      <c r="F1" s="3" t="inlineStr">
        <is>
          <t>F (Цена)</t>
        </is>
      </c>
      <c r="G1" s="3" t="inlineStr">
        <is>
          <t>G (Выручка)</t>
        </is>
      </c>
      <c r="H1" s="3" t="inlineStr">
        <is>
          <t>H (Склад)</t>
        </is>
      </c>
      <c r="I1" s="3" t="inlineStr">
        <is>
          <t>I (Семена/Корм)</t>
        </is>
      </c>
      <c r="J1" s="3" t="inlineStr">
        <is>
          <t>J (Потери)</t>
        </is>
      </c>
      <c r="K1" s="3" t="inlineStr">
        <is>
          <t>K (Дыра Δ)</t>
        </is>
      </c>
      <c r="L1" s="3" t="inlineStr">
        <is>
          <t>L (Статус)</t>
        </is>
      </c>
    </row>
    <row r="2" ht="36" customHeight="1">
      <c r="A2" s="4" t="inlineStr">
        <is>
          <t>АУ-2</t>
        </is>
      </c>
      <c r="B2" s="5" t="n">
        <v>3.5</v>
      </c>
      <c r="C2" s="5" t="n">
        <v>7.7</v>
      </c>
      <c r="D2" s="7">
        <f>C2*10/B2</f>
        <v>22.0</v>
      </c>
      <c r="E2" s="5" t="n">
        <v>5</v>
      </c>
      <c r="F2" s="5" t="n">
        <v>3.5</v>
      </c>
      <c r="G2" s="7">
        <f>E2*1000*F2</f>
        <v>17500.0</v>
      </c>
      <c r="H2" s="5" t="n">
        <v>1.5</v>
      </c>
      <c r="I2" s="5" t="n">
        <v>1</v>
      </c>
      <c r="J2" s="5" t="n">
        <v>0.2</v>
      </c>
      <c r="K2" s="7">
        <f>C2-(E2+H2+I2+J2)</f>
        <v>0.0</v>
      </c>
      <c r="L2" s="4" t="inlineStr">
        <is>
          <t>БАЛАНС СХОДИТСЯ</t>
        </is>
      </c>
    </row>
    <row r="3" ht="36" customHeight="1">
      <c r="A3" s="4" t="inlineStr">
        <is>
          <t>АУ-3</t>
        </is>
      </c>
      <c r="B3" s="5" t="n">
        <v>45.87</v>
      </c>
      <c r="C3" s="5" t="n">
        <v>100.91</v>
      </c>
      <c r="D3" s="7">
        <f>C3*10/B3</f>
        <v>21.99912797035099</v>
      </c>
      <c r="E3" s="5" t="n">
        <v>65</v>
      </c>
      <c r="F3" s="5" t="n">
        <v>3.5</v>
      </c>
      <c r="G3" s="7">
        <f>E3*1000*F3</f>
        <v>227500.0</v>
      </c>
      <c r="H3" s="5" t="n">
        <v>19</v>
      </c>
      <c r="I3" s="5" t="n">
        <v>16</v>
      </c>
      <c r="J3" s="5" t="n">
        <v>0.91</v>
      </c>
      <c r="K3" s="7">
        <f>C3-(E3+H3+I3+J3)</f>
        <v>0.0</v>
      </c>
      <c r="L3" s="4" t="inlineStr">
        <is>
          <t>БАЛАНС СХОДИТСЯ</t>
        </is>
      </c>
    </row>
    <row r="4" ht="36" customHeight="1">
      <c r="A4" s="4" t="inlineStr">
        <is>
          <t>АУ-4</t>
        </is>
      </c>
      <c r="B4" s="5" t="n">
        <v>54.8</v>
      </c>
      <c r="C4" s="5" t="n">
        <v>120.56</v>
      </c>
      <c r="D4" s="7">
        <f>C4*10/B4</f>
        <v>22.0</v>
      </c>
      <c r="E4" s="5" t="n">
        <v>80</v>
      </c>
      <c r="F4" s="5" t="n">
        <v>3.5</v>
      </c>
      <c r="G4" s="7">
        <f>E4*1000*F4</f>
        <v>280000.0</v>
      </c>
      <c r="H4" s="5" t="n">
        <v>20.5</v>
      </c>
      <c r="I4" s="5" t="n">
        <v>19</v>
      </c>
      <c r="J4" s="5" t="n">
        <v>1.06</v>
      </c>
      <c r="K4" s="7">
        <f>C4-(E4+H4+I4+J4)</f>
        <v>0.0</v>
      </c>
      <c r="L4" s="4" t="inlineStr">
        <is>
          <t>БАЛАНС СХОДИТСЯ</t>
        </is>
      </c>
    </row>
    <row r="5" ht="36" customHeight="1">
      <c r="A5" s="4" t="inlineStr">
        <is>
          <t>ИТОГО</t>
        </is>
      </c>
      <c r="B5" s="5" t="n">
        <v>104.17</v>
      </c>
      <c r="C5" s="5" t="n">
        <v>229.17</v>
      </c>
      <c r="D5" s="7">
        <f>C5*10/B5</f>
        <v>21.999616012287603</v>
      </c>
      <c r="E5" s="5" t="n">
        <v>150</v>
      </c>
      <c r="F5" s="4" t="inlineStr">
        <is>
          <t>—</t>
        </is>
      </c>
      <c r="G5" s="7">
        <f>SUM(G2:G4)</f>
        <v>525000.0</v>
      </c>
      <c r="H5" s="5" t="n">
        <v>41</v>
      </c>
      <c r="I5" s="5" t="n">
        <v>36</v>
      </c>
      <c r="J5" s="5" t="n">
        <v>2.17</v>
      </c>
      <c r="K5" s="7">
        <f>SUM(K2:K4)</f>
        <v>0.0</v>
      </c>
      <c r="L5" s="4" t="inlineStr">
        <is>
          <t>Учебная сверка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L5"/>
  <mergeCells count="1">
    <mergeCell ref="A9:L11"/>
  </mergeCells>
  <pageMargins left="0.75" right="0.75" top="1" bottom="1" header="0.5" footer="0.5"/>
  <pageSetup orientation="landscape" paperSize="9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 ht="46" customHeight="1">
      <c r="A1" s="3" t="inlineStr">
        <is>
          <t>Показатель</t>
        </is>
      </c>
      <c r="B1" s="3" t="inlineStr">
        <is>
          <t>Хлопок, 30 ц/га</t>
        </is>
      </c>
      <c r="C1" s="3" t="inlineStr">
        <is>
          <t>Пшеница, 25 ц/га</t>
        </is>
      </c>
    </row>
    <row r="2" ht="36" customHeight="1">
      <c r="A2" s="4" t="inlineStr">
        <is>
          <t>Указанные переменные затраты/га</t>
        </is>
      </c>
      <c r="B2" s="5" t="n">
        <v>14800</v>
      </c>
      <c r="C2" s="5" t="n">
        <v>4700</v>
      </c>
    </row>
    <row r="3" ht="36" customHeight="1">
      <c r="A3" s="4" t="inlineStr">
        <is>
          <t>Выручка/га</t>
        </is>
      </c>
      <c r="B3" s="5" t="n">
        <v>19500</v>
      </c>
      <c r="C3" s="5" t="n">
        <v>10000</v>
      </c>
    </row>
    <row r="4" ht="36" customHeight="1">
      <c r="A4" s="4" t="inlineStr">
        <is>
          <t>Маржинальный доход/га</t>
        </is>
      </c>
      <c r="B4" s="5" t="n">
        <v>4700</v>
      </c>
      <c r="C4" s="5" t="n">
        <v>5300</v>
      </c>
    </row>
    <row r="5" ht="36" customHeight="1">
      <c r="A5" s="4" t="inlineStr">
        <is>
          <t>Маржинальный доход / выручка</t>
        </is>
      </c>
      <c r="B5" s="5" t="n">
        <v>0.241025641025641</v>
      </c>
      <c r="C5" s="5" t="n">
        <v>0.53</v>
      </c>
    </row>
    <row r="6" ht="36" customHeight="1">
      <c r="A6" s="4" t="inlineStr">
        <is>
          <t>Маржинальный доход на 1305 / 189 га</t>
        </is>
      </c>
      <c r="B6" s="5" t="n">
        <v>6133500</v>
      </c>
      <c r="C6" s="5" t="n">
        <v>1001700</v>
      </c>
    </row>
    <row r="9">
      <c r="A9" t="inlineStr">
        <is>
          <t>Пояснение</t>
        </is>
      </c>
    </row>
    <row r="10">
      <c r="A10" s="6" t="inlineStr">
        <is>
          <t>Исправлены склеенные номера ссылок и смешение разных баз затрат. Здесь маржинальный доход = выручка − указанные переменные затраты. Для чистой прибыли вычитаются постоянные, финансовые и другие релевантные расходы. Число 1540 относилось к другой базе и исключено из этого сравнения.</t>
        </is>
      </c>
    </row>
    <row r="11"/>
    <row r="12"/>
  </sheetData>
  <autoFilter ref="A1:C6"/>
  <mergeCells count="1">
    <mergeCell ref="A10:C12"/>
  </mergeCells>
  <pageMargins left="0.75" right="0.75" top="1" bottom="1" header="0.5" footer="0.5"/>
  <pageSetup orientation="landscape" paperSize="9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(Агроучасток)</t>
        </is>
      </c>
      <c r="B1" s="3" t="inlineStr">
        <is>
          <t>B (Площадь, га)</t>
        </is>
      </c>
      <c r="C1" s="3" t="inlineStr">
        <is>
          <t>C (Намолот, т)</t>
        </is>
      </c>
      <c r="D1" s="3" t="inlineStr">
        <is>
          <t>D (Урожайность, ц/га)</t>
        </is>
      </c>
      <c r="E1" s="3" t="inlineStr">
        <is>
          <t>E (Продано, т)</t>
        </is>
      </c>
      <c r="F1" s="3" t="inlineStr">
        <is>
          <t>F (Цена, сом/кг)</t>
        </is>
      </c>
      <c r="G1" s="3" t="inlineStr">
        <is>
          <t>G (Выручка, сом)</t>
        </is>
      </c>
      <c r="H1" s="3" t="inlineStr">
        <is>
          <t>H (Склад, т)</t>
        </is>
      </c>
      <c r="I1" s="3" t="inlineStr">
        <is>
          <t>I (Семена, т)</t>
        </is>
      </c>
      <c r="J1" s="3" t="inlineStr">
        <is>
          <t>J (Прочее выбытие, т; расшифровать)</t>
        </is>
      </c>
      <c r="K1" s="3" t="inlineStr">
        <is>
          <t>K (Дыра Δ, т)</t>
        </is>
      </c>
      <c r="L1" s="3" t="inlineStr">
        <is>
          <t>L (Статус Баланса)</t>
        </is>
      </c>
    </row>
    <row r="2" ht="36" customHeight="1">
      <c r="A2" s="4" t="inlineStr">
        <is>
          <t>АУ-1 (Сотрудник 15)</t>
        </is>
      </c>
      <c r="B2" s="5" t="n">
        <v>23.83</v>
      </c>
      <c r="C2" s="5" t="n">
        <v>59.58</v>
      </c>
      <c r="D2" s="7">
        <f>C2*10/B2</f>
        <v>25.002098195551824</v>
      </c>
      <c r="E2" s="5" t="n">
        <v>40</v>
      </c>
      <c r="F2" s="5" t="n">
        <v>4</v>
      </c>
      <c r="G2" s="7">
        <f>E2*1000*F2</f>
        <v>160000.0</v>
      </c>
      <c r="H2" s="5" t="n">
        <v>12</v>
      </c>
      <c r="I2" s="7">
        <f>B2*0.25</f>
        <v>5.9575</v>
      </c>
      <c r="J2" s="5" t="n">
        <v>1.62</v>
      </c>
      <c r="K2" s="7">
        <f>C2-(E2+H2+I2+J2)</f>
        <v>0.0025000000000048317</v>
      </c>
      <c r="L2" s="4" t="inlineStr">
        <is>
          <t>БАЛАНС СХОДИТСЯ</t>
        </is>
      </c>
    </row>
    <row r="3" ht="36" customHeight="1">
      <c r="A3" s="4" t="inlineStr">
        <is>
          <t>АУ-2 (Сотрудник 21)</t>
        </is>
      </c>
      <c r="B3" s="5" t="n">
        <v>82.75</v>
      </c>
      <c r="C3" s="5" t="n">
        <v>206.88</v>
      </c>
      <c r="D3" s="7">
        <f>C3*10/B3</f>
        <v>25.00060422960725</v>
      </c>
      <c r="E3" s="5" t="n">
        <v>140</v>
      </c>
      <c r="F3" s="5" t="n">
        <v>4</v>
      </c>
      <c r="G3" s="7">
        <f>E3*1000*F3</f>
        <v>560000.0</v>
      </c>
      <c r="H3" s="5" t="n">
        <v>40</v>
      </c>
      <c r="I3" s="7">
        <f>B3*0.25</f>
        <v>20.6875</v>
      </c>
      <c r="J3" s="5" t="n">
        <v>6.19</v>
      </c>
      <c r="K3" s="7">
        <f>C3-(E3+H3+I3+J3)</f>
        <v>0.0024999999999977263</v>
      </c>
      <c r="L3" s="4" t="inlineStr">
        <is>
          <t>БАЛАНС СХОДИТСЯ</t>
        </is>
      </c>
    </row>
    <row r="4" ht="36" customHeight="1">
      <c r="A4" s="4" t="inlineStr">
        <is>
          <t>АУ-3 (Сотрудник 23)</t>
        </is>
      </c>
      <c r="B4" s="5" t="n">
        <v>40.59</v>
      </c>
      <c r="C4" s="5" t="n">
        <v>101.48</v>
      </c>
      <c r="D4" s="7">
        <f>C4*10/B4</f>
        <v>25.001231830500124</v>
      </c>
      <c r="E4" s="5" t="n">
        <v>70</v>
      </c>
      <c r="F4" s="5" t="n">
        <v>4</v>
      </c>
      <c r="G4" s="7">
        <f>E4*1000*F4</f>
        <v>280000.0</v>
      </c>
      <c r="H4" s="5" t="n">
        <v>18</v>
      </c>
      <c r="I4" s="7">
        <f>B4*0.25</f>
        <v>10.1475</v>
      </c>
      <c r="J4" s="5" t="n">
        <v>3.33</v>
      </c>
      <c r="K4" s="7">
        <f>C4-(E4+H4+I4+J4)</f>
        <v>0.0024999999999977263</v>
      </c>
      <c r="L4" s="4" t="inlineStr">
        <is>
          <t>БАЛАНС СХОДИТСЯ</t>
        </is>
      </c>
    </row>
    <row r="5" ht="36" customHeight="1">
      <c r="A5" s="4" t="inlineStr">
        <is>
          <t>АУ-4 (Сотрудник 03)</t>
        </is>
      </c>
      <c r="B5" s="5" t="n">
        <v>41.52</v>
      </c>
      <c r="C5" s="5" t="n">
        <v>103.8</v>
      </c>
      <c r="D5" s="7">
        <f>C5*10/B5</f>
        <v>24.999999999999996</v>
      </c>
      <c r="E5" s="5" t="n">
        <v>70</v>
      </c>
      <c r="F5" s="5" t="n">
        <v>4</v>
      </c>
      <c r="G5" s="7">
        <f>E5*1000*F5</f>
        <v>280000.0</v>
      </c>
      <c r="H5" s="5" t="n">
        <v>10</v>
      </c>
      <c r="I5" s="7">
        <f>B5*0.25</f>
        <v>10.38</v>
      </c>
      <c r="J5" s="5" t="n">
        <v>11.42</v>
      </c>
      <c r="K5" s="7">
        <f>C5-(E5+H5+I5+J5)</f>
        <v>2.0</v>
      </c>
      <c r="L5" s="4" t="inlineStr">
        <is>
          <t>НЕДОСТАЧА (ДЫРА)</t>
        </is>
      </c>
    </row>
    <row r="6" ht="36" customHeight="1">
      <c r="A6" s="4" t="inlineStr">
        <is>
          <t>ИТОГО</t>
        </is>
      </c>
      <c r="B6" s="5" t="n">
        <v>188.69</v>
      </c>
      <c r="C6" s="5" t="n">
        <v>471.74</v>
      </c>
      <c r="D6" s="7">
        <f>C6*10/B6</f>
        <v>25.00079495468758</v>
      </c>
      <c r="E6" s="5" t="n">
        <v>320</v>
      </c>
      <c r="F6" s="4" t="inlineStr">
        <is>
          <t>—</t>
        </is>
      </c>
      <c r="G6" s="7">
        <f>SUM(G2:G5)</f>
        <v>1280000.0</v>
      </c>
      <c r="H6" s="5" t="n">
        <v>80</v>
      </c>
      <c r="I6" s="7">
        <f>SUM(I2:I5)</f>
        <v>47.1725</v>
      </c>
      <c r="J6" s="5" t="n">
        <v>22.56</v>
      </c>
      <c r="K6" s="7">
        <f>SUM(K2:K5)</f>
        <v>2.0075000000000003</v>
      </c>
      <c r="L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Резерв семян 0,25 т/га — условная норма этого кейса. Прочее выбытие нужно разбить на оплату натурой, документированные потери и прочие операции. При точности исходных чисел 0,01 т различия 0,0025 т неотличимы от округления; существенные 2 т проверяются отдельно.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(АУ)</t>
        </is>
      </c>
      <c r="B1" s="3" t="inlineStr">
        <is>
          <t>B (Площадь)</t>
        </is>
      </c>
      <c r="C1" s="3" t="inlineStr">
        <is>
          <t>C (Намолот)</t>
        </is>
      </c>
      <c r="D1" s="3" t="inlineStr">
        <is>
          <t>D (Урожайность)</t>
        </is>
      </c>
      <c r="E1" s="3" t="inlineStr">
        <is>
          <t>E (Продано)</t>
        </is>
      </c>
      <c r="F1" s="3" t="inlineStr">
        <is>
          <t>F (Цена)</t>
        </is>
      </c>
      <c r="G1" s="3" t="inlineStr">
        <is>
          <t>G (Выручка)</t>
        </is>
      </c>
      <c r="H1" s="3" t="inlineStr">
        <is>
          <t>H (Склад)</t>
        </is>
      </c>
      <c r="I1" s="3" t="inlineStr">
        <is>
          <t>I (Семена)</t>
        </is>
      </c>
      <c r="J1" s="3" t="inlineStr">
        <is>
          <t>J (Прочее выбытие, т; расшифровать)</t>
        </is>
      </c>
      <c r="K1" s="3" t="inlineStr">
        <is>
          <t>K (Дыра Δ)</t>
        </is>
      </c>
      <c r="L1" s="3" t="inlineStr">
        <is>
          <t>L (Статус)</t>
        </is>
      </c>
    </row>
    <row r="2" ht="36" customHeight="1">
      <c r="A2" s="4" t="inlineStr">
        <is>
          <t>АУ-1 (Сотрудник 15)</t>
        </is>
      </c>
      <c r="B2" s="5" t="n">
        <v>23.83</v>
      </c>
      <c r="C2" s="5" t="n">
        <v>59.58</v>
      </c>
      <c r="D2" s="7">
        <f>C2*10/B2</f>
        <v>25.002098195551824</v>
      </c>
      <c r="E2" s="5" t="n">
        <v>40</v>
      </c>
      <c r="F2" s="5" t="n">
        <v>4</v>
      </c>
      <c r="G2" s="7">
        <f>E2*1000*F2</f>
        <v>160000.0</v>
      </c>
      <c r="H2" s="5" t="n">
        <v>12</v>
      </c>
      <c r="I2" s="7">
        <f>B2*0.25</f>
        <v>5.9575</v>
      </c>
      <c r="J2" s="5" t="n">
        <v>1.62</v>
      </c>
      <c r="K2" s="7">
        <f>C2-(E2+H2+I2+J2)</f>
        <v>0.0025000000000048317</v>
      </c>
      <c r="L2" s="4" t="inlineStr">
        <is>
          <t>БАЛАНС СХОДИТСЯ</t>
        </is>
      </c>
    </row>
    <row r="3" ht="36" customHeight="1">
      <c r="A3" s="4" t="inlineStr">
        <is>
          <t>АУ-2 (Сотрудник 21)</t>
        </is>
      </c>
      <c r="B3" s="5" t="n">
        <v>82.75</v>
      </c>
      <c r="C3" s="5" t="n">
        <v>206.88</v>
      </c>
      <c r="D3" s="7">
        <f>C3*10/B3</f>
        <v>25.00060422960725</v>
      </c>
      <c r="E3" s="5" t="n">
        <v>140</v>
      </c>
      <c r="F3" s="5" t="n">
        <v>4</v>
      </c>
      <c r="G3" s="7">
        <f>E3*1000*F3</f>
        <v>560000.0</v>
      </c>
      <c r="H3" s="5" t="n">
        <v>40</v>
      </c>
      <c r="I3" s="7">
        <f>B3*0.25</f>
        <v>20.6875</v>
      </c>
      <c r="J3" s="5" t="n">
        <v>6.19</v>
      </c>
      <c r="K3" s="7">
        <f>C3-(E3+H3+I3+J3)</f>
        <v>0.0024999999999977263</v>
      </c>
      <c r="L3" s="4" t="inlineStr">
        <is>
          <t>БАЛАНС СХОДИТСЯ</t>
        </is>
      </c>
    </row>
    <row r="4" ht="36" customHeight="1">
      <c r="A4" s="4" t="inlineStr">
        <is>
          <t>АУ-3 (Сотрудник 23)</t>
        </is>
      </c>
      <c r="B4" s="5" t="n">
        <v>40.59</v>
      </c>
      <c r="C4" s="5" t="n">
        <v>101.48</v>
      </c>
      <c r="D4" s="7">
        <f>C4*10/B4</f>
        <v>25.001231830500124</v>
      </c>
      <c r="E4" s="5" t="n">
        <v>70</v>
      </c>
      <c r="F4" s="5" t="n">
        <v>4</v>
      </c>
      <c r="G4" s="7">
        <f>E4*1000*F4</f>
        <v>280000.0</v>
      </c>
      <c r="H4" s="5" t="n">
        <v>18</v>
      </c>
      <c r="I4" s="7">
        <f>B4*0.25</f>
        <v>10.1475</v>
      </c>
      <c r="J4" s="5" t="n">
        <v>3.33</v>
      </c>
      <c r="K4" s="7">
        <f>C4-(E4+H4+I4+J4)</f>
        <v>0.0024999999999977263</v>
      </c>
      <c r="L4" s="4" t="inlineStr">
        <is>
          <t>БАЛАНС СХОДИТСЯ</t>
        </is>
      </c>
    </row>
    <row r="5" ht="36" customHeight="1">
      <c r="A5" s="4" t="inlineStr">
        <is>
          <t>АУ-4 (Сотрудник 03)</t>
        </is>
      </c>
      <c r="B5" s="5" t="n">
        <v>41.52</v>
      </c>
      <c r="C5" s="5" t="n">
        <v>103.8</v>
      </c>
      <c r="D5" s="7">
        <f>C5*10/B5</f>
        <v>24.999999999999996</v>
      </c>
      <c r="E5" s="5" t="n">
        <v>70</v>
      </c>
      <c r="F5" s="5" t="n">
        <v>4</v>
      </c>
      <c r="G5" s="7">
        <f>E5*1000*F5</f>
        <v>280000.0</v>
      </c>
      <c r="H5" s="5" t="n">
        <v>10</v>
      </c>
      <c r="I5" s="7">
        <f>B5*0.25</f>
        <v>10.38</v>
      </c>
      <c r="J5" s="5" t="n">
        <v>11.42</v>
      </c>
      <c r="K5" s="7">
        <f>C5-(E5+H5+I5+J5)</f>
        <v>2.0</v>
      </c>
      <c r="L5" s="4" t="inlineStr">
        <is>
          <t>НЕДОСТАЧА (ДЫРА)</t>
        </is>
      </c>
    </row>
    <row r="6" ht="36" customHeight="1">
      <c r="A6" s="4" t="inlineStr">
        <is>
          <t>ИТОГО</t>
        </is>
      </c>
      <c r="B6" s="5" t="n">
        <v>188.69</v>
      </c>
      <c r="C6" s="5" t="n">
        <v>471.74</v>
      </c>
      <c r="D6" s="7">
        <f>C6*10/B6</f>
        <v>25.00079495468758</v>
      </c>
      <c r="E6" s="5" t="n">
        <v>320</v>
      </c>
      <c r="F6" s="4" t="inlineStr">
        <is>
          <t>—</t>
        </is>
      </c>
      <c r="G6" s="7">
        <f>SUM(G2:G5)</f>
        <v>1280000.0</v>
      </c>
      <c r="H6" s="5" t="n">
        <v>80</v>
      </c>
      <c r="I6" s="7">
        <f>SUM(I2:I5)</f>
        <v>47.1725</v>
      </c>
      <c r="J6" s="5" t="n">
        <v>22.56</v>
      </c>
      <c r="K6" s="7">
        <f>SUM(K2:K5)</f>
        <v>2.0075000000000003</v>
      </c>
      <c r="L6" s="4" t="inlineStr">
        <is>
          <t>Учебная сверка</t>
        </is>
      </c>
    </row>
    <row r="9">
      <c r="A9" t="inlineStr">
        <is>
          <t>Пояснение</t>
        </is>
      </c>
    </row>
    <row r="10">
      <c r="A10" s="6" t="inlineStr">
        <is>
          <t>Резерв семян 0,25 т/га — условная норма этого кейса. Прочее выбытие нужно разбить на оплату натурой, документированные потери и прочие операции. При точности исходных чисел 0,01 т различия 0,0025 т неотличимы от округления; существенные 2 т проверяются отдельно.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Лист Excel</t>
        </is>
      </c>
      <c r="B1" s="3" t="inlineStr">
        <is>
          <t>Этап модели</t>
        </is>
      </c>
      <c r="C1" s="3" t="inlineStr">
        <is>
          <t>Что вносит экономист ( Жёлтые)</t>
        </is>
      </c>
      <c r="D1" s="3" t="inlineStr">
        <is>
          <t>Что считается автоматически ( Зелёные)</t>
        </is>
      </c>
      <c r="E1" s="3" t="inlineStr">
        <is>
          <t>Контрольная функция</t>
        </is>
      </c>
    </row>
    <row r="2" ht="36" customHeight="1">
      <c r="A2" s="4" t="inlineStr">
        <is>
          <t>00_Инструкция</t>
        </is>
      </c>
      <c r="B2" s="4" t="inlineStr">
        <is>
          <t>—</t>
        </is>
      </c>
      <c r="C2" s="4" t="inlineStr">
        <is>
          <t>Правила работы и регламент</t>
        </is>
      </c>
      <c r="D2" s="4" t="inlineStr">
        <is>
          <t>—</t>
        </is>
      </c>
      <c r="E2" s="4" t="inlineStr">
        <is>
          <t>Защита от разрушения структуры .</t>
        </is>
      </c>
    </row>
    <row r="3" ht="36" customHeight="1">
      <c r="A3" s="4" t="inlineStr">
        <is>
          <t>01_Справочники</t>
        </is>
      </c>
      <c r="B3" s="4" t="inlineStr">
        <is>
          <t>Этап 0</t>
        </is>
      </c>
      <c r="C3" s="4" t="inlineStr">
        <is>
          <t>Список АУ, Культур, Складов</t>
        </is>
      </c>
      <c r="D3" s="4" t="inlineStr">
        <is>
          <t>Единицы измерения</t>
        </is>
      </c>
      <c r="E3" s="4" t="inlineStr">
        <is>
          <t>Исключает опечатки в названиях .</t>
        </is>
      </c>
    </row>
    <row r="4" ht="36" customHeight="1">
      <c r="A4" s="4" t="inlineStr">
        <is>
          <t>02_Сбор</t>
        </is>
      </c>
      <c r="B4" s="4" t="inlineStr">
        <is>
          <t>Этап 1</t>
        </is>
      </c>
      <c r="C4" s="4" t="inlineStr">
        <is>
          <t>Дата, Поле, Бригадир, га, Намолот</t>
        </is>
      </c>
      <c r="D4" s="4" t="inlineStr">
        <is>
          <t>—</t>
        </is>
      </c>
      <c r="E4" s="4" t="inlineStr">
        <is>
          <t>Фиксация ответственности с поля .</t>
        </is>
      </c>
    </row>
    <row r="5" ht="36" customHeight="1">
      <c r="A5" s="4" t="inlineStr">
        <is>
          <t>03_Обработка</t>
        </is>
      </c>
      <c r="B5" s="4" t="inlineStr">
        <is>
          <t>Этап 2</t>
        </is>
      </c>
      <c r="C5" s="4" t="inlineStr">
        <is>
          <t>Сырьё вход, Готовый выход</t>
        </is>
      </c>
      <c r="D5" s="4" t="inlineStr">
        <is>
          <t>% Выхода, Потери</t>
        </is>
      </c>
      <c r="E5" s="4" t="inlineStr">
        <is>
          <t>Ловит фиктивную «усушку» .</t>
        </is>
      </c>
    </row>
    <row r="6" ht="36" customHeight="1">
      <c r="A6" s="4" t="inlineStr">
        <is>
          <t>04_Склад</t>
        </is>
      </c>
      <c r="B6" s="4" t="inlineStr">
        <is>
          <t>Этап 3</t>
        </is>
      </c>
      <c r="C6" s="4" t="inlineStr">
        <is>
          <t>Место, Приход, Расход</t>
        </is>
      </c>
      <c r="D6" s="4" t="inlineStr">
        <is>
          <t>Накопительный Остаток</t>
        </is>
      </c>
      <c r="E6" s="4" t="inlineStr">
        <is>
          <t>Сверка с физической описью .</t>
        </is>
      </c>
    </row>
    <row r="7" ht="36" customHeight="1">
      <c r="A7" s="4" t="inlineStr">
        <is>
          <t>05_Реализация</t>
        </is>
      </c>
      <c r="B7" s="4" t="inlineStr">
        <is>
          <t>Этап 4–5</t>
        </is>
      </c>
      <c r="C7" s="4" t="inlineStr">
        <is>
          <t>Покупатель, Объём, Цена, Оплата</t>
        </is>
      </c>
      <c r="D7" s="4" t="inlineStr">
        <is>
          <t>Сумма, Дебиторский долг</t>
        </is>
      </c>
      <c r="E7" s="4" t="inlineStr">
        <is>
          <t>Контроль цен и кассовых приходов .</t>
        </is>
      </c>
    </row>
    <row r="8" ht="36" customHeight="1">
      <c r="A8" s="4" t="inlineStr">
        <is>
          <t>06_Сводка</t>
        </is>
      </c>
      <c r="B8" s="4" t="inlineStr">
        <is>
          <t>Этап 6</t>
        </is>
      </c>
      <c r="C8" s="4" t="inlineStr">
        <is>
          <t>Площадь, Себестоимость/га</t>
        </is>
      </c>
      <c r="D8" s="4" t="inlineStr">
        <is>
          <t>Собрано, Остаток, Δ, Маржа</t>
        </is>
      </c>
      <c r="E8" s="4" t="inlineStr">
        <is>
          <t>Дашборд директора: $\Delta = 0$ .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E8"/>
  <mergeCells count="1">
    <mergeCell ref="A12:E14"/>
  </mergeCells>
  <pageMargins left="0.75" right="0.75" top="1" bottom="1" header="0.5" footer="0.5"/>
  <pageSetup orientation="landscape" paperSize="9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(Имя Листа)</t>
        </is>
      </c>
      <c r="B1" s="3" t="inlineStr">
        <is>
          <t>B (Этап модели)</t>
        </is>
      </c>
      <c r="C1" s="3" t="inlineStr">
        <is>
          <t>C (Назначение)</t>
        </is>
      </c>
      <c r="D1" s="3" t="inlineStr">
        <is>
          <t>D (Колонки ввода )</t>
        </is>
      </c>
      <c r="E1" s="3" t="inlineStr">
        <is>
          <t>E (Формульные колонки )</t>
        </is>
      </c>
      <c r="F1" s="3" t="inlineStr">
        <is>
          <t>F (Периодичность)</t>
        </is>
      </c>
      <c r="G1" s="3" t="inlineStr">
        <is>
          <t>G (Первичный документ)</t>
        </is>
      </c>
      <c r="H1" s="3" t="inlineStr">
        <is>
          <t>H (Проверяющий)</t>
        </is>
      </c>
      <c r="I1" s="3" t="inlineStr">
        <is>
          <t>I (Типичная ошибка)</t>
        </is>
      </c>
      <c r="J1" s="3" t="inlineStr">
        <is>
          <t>J (Защита)</t>
        </is>
      </c>
      <c r="K1" s="3" t="inlineStr">
        <is>
          <t>K (Статус Готовности)</t>
        </is>
      </c>
    </row>
    <row r="2" ht="36" customHeight="1">
      <c r="A2" s="4" t="inlineStr">
        <is>
          <t>00_Инструкция</t>
        </is>
      </c>
      <c r="B2" s="4" t="inlineStr">
        <is>
          <t>—</t>
        </is>
      </c>
      <c r="C2" s="4" t="inlineStr">
        <is>
          <t>Легенда и правила</t>
        </is>
      </c>
      <c r="D2" s="4" t="inlineStr">
        <is>
          <t>Регламент</t>
        </is>
      </c>
      <c r="E2" s="4" t="inlineStr">
        <is>
          <t>—</t>
        </is>
      </c>
      <c r="F2" s="4" t="inlineStr">
        <is>
          <t>1 раз/сезон</t>
        </is>
      </c>
      <c r="G2" s="4" t="inlineStr">
        <is>
          <t>Приказ директора</t>
        </is>
      </c>
      <c r="H2" s="4" t="inlineStr">
        <is>
          <t>Экономист</t>
        </is>
      </c>
      <c r="I2" s="4" t="inlineStr">
        <is>
          <t>Игнорирование правил</t>
        </is>
      </c>
      <c r="J2" s="4" t="inlineStr">
        <is>
          <t>Защита листа</t>
        </is>
      </c>
      <c r="K2" s="4" t="inlineStr">
        <is>
          <t>Проект структуры</t>
        </is>
      </c>
    </row>
    <row r="3" ht="36" customHeight="1">
      <c r="A3" s="4" t="inlineStr">
        <is>
          <t>01_Справочники</t>
        </is>
      </c>
      <c r="B3" s="4" t="inlineStr">
        <is>
          <t>Этап 0</t>
        </is>
      </c>
      <c r="C3" s="4" t="inlineStr">
        <is>
          <t>Базовые константы</t>
        </is>
      </c>
      <c r="D3" s="4" t="inlineStr">
        <is>
          <t>АУ, Склады, Клиенты</t>
        </is>
      </c>
      <c r="E3" s="4" t="inlineStr">
        <is>
          <t>Ед. измерения</t>
        </is>
      </c>
      <c r="F3" s="4" t="inlineStr">
        <is>
          <t>1 раз/сезон</t>
        </is>
      </c>
      <c r="G3" s="4" t="inlineStr">
        <is>
          <t>Учётная политика</t>
        </is>
      </c>
      <c r="H3" s="4" t="inlineStr">
        <is>
          <t>Гл. бухгалтер</t>
        </is>
      </c>
      <c r="I3" s="4" t="inlineStr">
        <is>
          <t>Опечатки в именах</t>
        </is>
      </c>
      <c r="J3" s="4" t="inlineStr">
        <is>
          <t>Выпадающий список</t>
        </is>
      </c>
      <c r="K3" s="4" t="inlineStr">
        <is>
          <t>Проект структуры</t>
        </is>
      </c>
    </row>
    <row r="4" ht="36" customHeight="1">
      <c r="A4" s="4" t="inlineStr">
        <is>
          <t>02_Сбор</t>
        </is>
      </c>
      <c r="B4" s="4" t="inlineStr">
        <is>
          <t>Этап 1</t>
        </is>
      </c>
      <c r="C4" s="4" t="inlineStr">
        <is>
          <t>Первичка с поля</t>
        </is>
      </c>
      <c r="D4" s="4" t="inlineStr">
        <is>
          <t>Дата, Поле, га, Намолот</t>
        </is>
      </c>
      <c r="E4" s="4" t="inlineStr">
        <is>
          <t>—</t>
        </is>
      </c>
      <c r="F4" s="4" t="inlineStr">
        <is>
          <t>Ежедневно</t>
        </is>
      </c>
      <c r="G4" s="4" t="inlineStr">
        <is>
          <t>Весовая ведомость</t>
        </is>
      </c>
      <c r="H4" s="4" t="inlineStr">
        <is>
          <t>Агроном</t>
        </is>
      </c>
      <c r="I4" s="4" t="inlineStr">
        <is>
          <t>Неучтённые поля</t>
        </is>
      </c>
      <c r="J4" s="4" t="inlineStr">
        <is>
          <t>Сверка площадей</t>
        </is>
      </c>
      <c r="K4" s="4" t="inlineStr">
        <is>
          <t>Проект структуры</t>
        </is>
      </c>
    </row>
    <row r="5" ht="36" customHeight="1">
      <c r="A5" s="4" t="inlineStr">
        <is>
          <t>03_Обработка</t>
        </is>
      </c>
      <c r="B5" s="4" t="inlineStr">
        <is>
          <t>Этап 2</t>
        </is>
      </c>
      <c r="C5" s="4" t="inlineStr">
        <is>
          <t>Выход продукции</t>
        </is>
      </c>
      <c r="D5" s="4" t="inlineStr">
        <is>
          <t>Вход сырья, Выход готового</t>
        </is>
      </c>
      <c r="E5" s="4" t="inlineStr">
        <is>
          <t>% Выхода, Потери</t>
        </is>
      </c>
      <c r="F5" s="4" t="inlineStr">
        <is>
          <t>Ежедневно</t>
        </is>
      </c>
      <c r="G5" s="4" t="inlineStr">
        <is>
          <t>Акт сушки/тюкования</t>
        </is>
      </c>
      <c r="H5" s="4" t="inlineStr">
        <is>
          <t>Технолог</t>
        </is>
      </c>
      <c r="I5" s="4" t="inlineStr">
        <is>
          <t>Завышение усушки</t>
        </is>
      </c>
      <c r="J5" s="4" t="inlineStr">
        <is>
          <t>Лимит % выхода</t>
        </is>
      </c>
      <c r="K5" s="4" t="inlineStr">
        <is>
          <t>Проект структуры</t>
        </is>
      </c>
    </row>
    <row r="6" ht="36" customHeight="1">
      <c r="A6" s="4" t="inlineStr">
        <is>
          <t>04_Склад</t>
        </is>
      </c>
      <c r="B6" s="4" t="inlineStr">
        <is>
          <t>Этап 3</t>
        </is>
      </c>
      <c r="C6" s="4" t="inlineStr">
        <is>
          <t>Складской баланс</t>
        </is>
      </c>
      <c r="D6" s="4" t="inlineStr">
        <is>
          <t>Место, Приход, Расход</t>
        </is>
      </c>
      <c r="E6" s="4" t="inlineStr">
        <is>
          <t>Накопительный остаток</t>
        </is>
      </c>
      <c r="F6" s="4" t="inlineStr">
        <is>
          <t>Ежедневно</t>
        </is>
      </c>
      <c r="G6" s="4" t="inlineStr">
        <is>
          <t>Приходный ордер</t>
        </is>
      </c>
      <c r="H6" s="4" t="inlineStr">
        <is>
          <t>Кладовщик</t>
        </is>
      </c>
      <c r="I6" s="4" t="inlineStr">
        <is>
          <t>Остаток на бумаге</t>
        </is>
      </c>
      <c r="J6" s="4" t="inlineStr">
        <is>
          <t>Инвентаризация</t>
        </is>
      </c>
      <c r="K6" s="4" t="inlineStr">
        <is>
          <t>Проект структуры</t>
        </is>
      </c>
    </row>
    <row r="7" ht="36" customHeight="1">
      <c r="A7" s="4" t="inlineStr">
        <is>
          <t>05_Реализация</t>
        </is>
      </c>
      <c r="B7" s="4" t="inlineStr">
        <is>
          <t>Этап 4–5</t>
        </is>
      </c>
      <c r="C7" s="4" t="inlineStr">
        <is>
          <t>Продажи и деньги</t>
        </is>
      </c>
      <c r="D7" s="4" t="inlineStr">
        <is>
          <t>Покупатель, Объём, Цена</t>
        </is>
      </c>
      <c r="E7" s="4" t="inlineStr">
        <is>
          <t>Сумма, Долг</t>
        </is>
      </c>
      <c r="F7" s="4" t="inlineStr">
        <is>
          <t>По факту</t>
        </is>
      </c>
      <c r="G7" s="4" t="inlineStr">
        <is>
          <t>Накладная, ПКО</t>
        </is>
      </c>
      <c r="H7" s="4" t="inlineStr">
        <is>
          <t>Экономист</t>
        </is>
      </c>
      <c r="I7" s="4" t="inlineStr">
        <is>
          <t>Продажа ниже рынка</t>
        </is>
      </c>
      <c r="J7" s="4" t="inlineStr">
        <is>
          <t>Протокол цены</t>
        </is>
      </c>
      <c r="K7" s="4" t="inlineStr">
        <is>
          <t>Проект структуры</t>
        </is>
      </c>
    </row>
    <row r="8" ht="36" customHeight="1">
      <c r="A8" s="4" t="inlineStr">
        <is>
          <t>06_Сводка</t>
        </is>
      </c>
      <c r="B8" s="4" t="inlineStr">
        <is>
          <t>Этап 6</t>
        </is>
      </c>
      <c r="C8" s="4" t="inlineStr">
        <is>
          <t>ДАШБОРД</t>
        </is>
      </c>
      <c r="D8" s="4" t="inlineStr">
        <is>
          <t>Площадь, Себестоимость</t>
        </is>
      </c>
      <c r="E8" s="4" t="inlineStr">
        <is>
          <t>Собрано, Остаток, Δ, Маржа</t>
        </is>
      </c>
      <c r="F8" s="4" t="inlineStr">
        <is>
          <t>Авто-онлайн</t>
        </is>
      </c>
      <c r="G8" s="4" t="inlineStr">
        <is>
          <t>Сводный отчёт</t>
        </is>
      </c>
      <c r="H8" s="4" t="inlineStr">
        <is>
          <t>Директор</t>
        </is>
      </c>
      <c r="I8" s="4" t="inlineStr">
        <is>
          <t>Битые формулы</t>
        </is>
      </c>
      <c r="J8" s="4" t="inlineStr">
        <is>
          <t>Формулы =СУММЕСЛИ()</t>
        </is>
      </c>
      <c r="K8" s="4" t="inlineStr">
        <is>
          <t>Проект структуры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(Имя Листа)</t>
        </is>
      </c>
      <c r="B1" s="3" t="inlineStr">
        <is>
          <t>B (Этап)</t>
        </is>
      </c>
      <c r="C1" s="3" t="inlineStr">
        <is>
          <t>C (Назначение)</t>
        </is>
      </c>
      <c r="D1" s="3" t="inlineStr">
        <is>
          <t>D (Колонки ввода )</t>
        </is>
      </c>
      <c r="E1" s="3" t="inlineStr">
        <is>
          <t>E (Формульные колонки )</t>
        </is>
      </c>
      <c r="F1" s="3" t="inlineStr">
        <is>
          <t>F (Периодичность)</t>
        </is>
      </c>
      <c r="G1" s="3" t="inlineStr">
        <is>
          <t>G (Первичка)</t>
        </is>
      </c>
      <c r="H1" s="3" t="inlineStr">
        <is>
          <t>H (Проверяющий)</t>
        </is>
      </c>
      <c r="I1" s="3" t="inlineStr">
        <is>
          <t>I (Ошибка)</t>
        </is>
      </c>
      <c r="J1" s="3" t="inlineStr">
        <is>
          <t>J (Защита)</t>
        </is>
      </c>
      <c r="K1" s="3" t="inlineStr">
        <is>
          <t>K (Статус)</t>
        </is>
      </c>
    </row>
    <row r="2" ht="36" customHeight="1">
      <c r="A2" s="4" t="inlineStr">
        <is>
          <t>00_Инструкция</t>
        </is>
      </c>
      <c r="B2" s="4" t="inlineStr">
        <is>
          <t>—</t>
        </is>
      </c>
      <c r="C2" s="4" t="inlineStr">
        <is>
          <t>Легенда</t>
        </is>
      </c>
      <c r="D2" s="4" t="inlineStr">
        <is>
          <t>Регламент</t>
        </is>
      </c>
      <c r="E2" s="4" t="inlineStr">
        <is>
          <t>—</t>
        </is>
      </c>
      <c r="F2" s="4" t="inlineStr">
        <is>
          <t>1 раз/сезон</t>
        </is>
      </c>
      <c r="G2" s="4" t="inlineStr">
        <is>
          <t>Приказ директора</t>
        </is>
      </c>
      <c r="H2" s="4" t="inlineStr">
        <is>
          <t>Экономист</t>
        </is>
      </c>
      <c r="I2" s="4" t="inlineStr">
        <is>
          <t>Игнорирование</t>
        </is>
      </c>
      <c r="J2" s="4" t="inlineStr">
        <is>
          <t>Защита листа</t>
        </is>
      </c>
      <c r="K2" s="4" t="inlineStr">
        <is>
          <t>Проект структуры</t>
        </is>
      </c>
    </row>
    <row r="3" ht="36" customHeight="1">
      <c r="A3" s="4" t="inlineStr">
        <is>
          <t>01_Справочники</t>
        </is>
      </c>
      <c r="B3" s="4" t="inlineStr">
        <is>
          <t>Этап 0</t>
        </is>
      </c>
      <c r="C3" s="4" t="inlineStr">
        <is>
          <t>Константы</t>
        </is>
      </c>
      <c r="D3" s="4" t="inlineStr">
        <is>
          <t>АУ, Склады</t>
        </is>
      </c>
      <c r="E3" s="4" t="inlineStr">
        <is>
          <t>Ед. измерения</t>
        </is>
      </c>
      <c r="F3" s="4" t="inlineStr">
        <is>
          <t>1 раз/сезон</t>
        </is>
      </c>
      <c r="G3" s="4" t="inlineStr">
        <is>
          <t>Учётная политика</t>
        </is>
      </c>
      <c r="H3" s="4" t="inlineStr">
        <is>
          <t>Гл. бухгалтер</t>
        </is>
      </c>
      <c r="I3" s="4" t="inlineStr">
        <is>
          <t>Опечатки</t>
        </is>
      </c>
      <c r="J3" s="4" t="inlineStr">
        <is>
          <t>Выпадающий список</t>
        </is>
      </c>
      <c r="K3" s="4" t="inlineStr">
        <is>
          <t>Проект структуры</t>
        </is>
      </c>
    </row>
    <row r="4" ht="36" customHeight="1">
      <c r="A4" s="4" t="inlineStr">
        <is>
          <t>02_Сбор</t>
        </is>
      </c>
      <c r="B4" s="4" t="inlineStr">
        <is>
          <t>Этап 1</t>
        </is>
      </c>
      <c r="C4" s="4" t="inlineStr">
        <is>
          <t>Первичка</t>
        </is>
      </c>
      <c r="D4" s="4" t="inlineStr">
        <is>
          <t>Дата, Поле, га</t>
        </is>
      </c>
      <c r="E4" s="4" t="inlineStr">
        <is>
          <t>—</t>
        </is>
      </c>
      <c r="F4" s="4" t="inlineStr">
        <is>
          <t>Ежедневно</t>
        </is>
      </c>
      <c r="G4" s="4" t="inlineStr">
        <is>
          <t>Весовая ведомость</t>
        </is>
      </c>
      <c r="H4" s="4" t="inlineStr">
        <is>
          <t>Агроном</t>
        </is>
      </c>
      <c r="I4" s="4" t="inlineStr">
        <is>
          <t>Неучтённые поля</t>
        </is>
      </c>
      <c r="J4" s="4" t="inlineStr">
        <is>
          <t>Сверка площадей</t>
        </is>
      </c>
      <c r="K4" s="4" t="inlineStr">
        <is>
          <t>Проект структуры</t>
        </is>
      </c>
    </row>
    <row r="5" ht="36" customHeight="1">
      <c r="A5" s="4" t="inlineStr">
        <is>
          <t>03_Обработка</t>
        </is>
      </c>
      <c r="B5" s="4" t="inlineStr">
        <is>
          <t>Этап 2</t>
        </is>
      </c>
      <c r="C5" s="4" t="inlineStr">
        <is>
          <t>Выход</t>
        </is>
      </c>
      <c r="D5" s="4" t="inlineStr">
        <is>
          <t>Вход, Выход готового</t>
        </is>
      </c>
      <c r="E5" s="4" t="inlineStr">
        <is>
          <t>% Выхода, Потери</t>
        </is>
      </c>
      <c r="F5" s="4" t="inlineStr">
        <is>
          <t>Ежедневно</t>
        </is>
      </c>
      <c r="G5" s="4" t="inlineStr">
        <is>
          <t>Акт сушки/тюкования</t>
        </is>
      </c>
      <c r="H5" s="4" t="inlineStr">
        <is>
          <t>Технолог</t>
        </is>
      </c>
      <c r="I5" s="4" t="inlineStr">
        <is>
          <t>Завышение усушки</t>
        </is>
      </c>
      <c r="J5" s="4" t="inlineStr">
        <is>
          <t>Лимит % выхода</t>
        </is>
      </c>
      <c r="K5" s="4" t="inlineStr">
        <is>
          <t>Проект структуры</t>
        </is>
      </c>
    </row>
    <row r="6" ht="36" customHeight="1">
      <c r="A6" s="4" t="inlineStr">
        <is>
          <t>04_Склад</t>
        </is>
      </c>
      <c r="B6" s="4" t="inlineStr">
        <is>
          <t>Этап 3</t>
        </is>
      </c>
      <c r="C6" s="4" t="inlineStr">
        <is>
          <t>Склад</t>
        </is>
      </c>
      <c r="D6" s="4" t="inlineStr">
        <is>
          <t>Место, Приход</t>
        </is>
      </c>
      <c r="E6" s="4" t="inlineStr">
        <is>
          <t>Накопительный остаток</t>
        </is>
      </c>
      <c r="F6" s="4" t="inlineStr">
        <is>
          <t>Ежедневно</t>
        </is>
      </c>
      <c r="G6" s="4" t="inlineStr">
        <is>
          <t>Приходный ордер</t>
        </is>
      </c>
      <c r="H6" s="4" t="inlineStr">
        <is>
          <t>Кладовщик</t>
        </is>
      </c>
      <c r="I6" s="4" t="inlineStr">
        <is>
          <t>Остаток на бумаге</t>
        </is>
      </c>
      <c r="J6" s="4" t="inlineStr">
        <is>
          <t>Инвентаризация</t>
        </is>
      </c>
      <c r="K6" s="4" t="inlineStr">
        <is>
          <t>Проект структуры</t>
        </is>
      </c>
    </row>
    <row r="7" ht="36" customHeight="1">
      <c r="A7" s="4" t="inlineStr">
        <is>
          <t>05_Реализация</t>
        </is>
      </c>
      <c r="B7" s="4" t="inlineStr">
        <is>
          <t>Этап 4–5</t>
        </is>
      </c>
      <c r="C7" s="4" t="inlineStr">
        <is>
          <t>Продажи</t>
        </is>
      </c>
      <c r="D7" s="4" t="inlineStr">
        <is>
          <t>Клиент, Объём</t>
        </is>
      </c>
      <c r="E7" s="4" t="inlineStr">
        <is>
          <t>Сумма, Долг</t>
        </is>
      </c>
      <c r="F7" s="4" t="inlineStr">
        <is>
          <t>По факту</t>
        </is>
      </c>
      <c r="G7" s="4" t="inlineStr">
        <is>
          <t>Накладная, ПКО</t>
        </is>
      </c>
      <c r="H7" s="4" t="inlineStr">
        <is>
          <t>Экономист</t>
        </is>
      </c>
      <c r="I7" s="4" t="inlineStr">
        <is>
          <t>Продажа ниже рынка</t>
        </is>
      </c>
      <c r="J7" s="4" t="inlineStr">
        <is>
          <t>Протокол цены</t>
        </is>
      </c>
      <c r="K7" s="4" t="inlineStr">
        <is>
          <t>Проект структуры</t>
        </is>
      </c>
    </row>
    <row r="8" ht="36" customHeight="1">
      <c r="A8" s="4" t="inlineStr">
        <is>
          <t>06_Сводка</t>
        </is>
      </c>
      <c r="B8" s="4" t="inlineStr">
        <is>
          <t>Этап 6</t>
        </is>
      </c>
      <c r="C8" s="4" t="inlineStr">
        <is>
          <t>ДАШБОРД</t>
        </is>
      </c>
      <c r="D8" s="4" t="inlineStr">
        <is>
          <t>Площадь, Себест.</t>
        </is>
      </c>
      <c r="E8" s="4" t="inlineStr">
        <is>
          <t>Собрано, Остаток, Δ</t>
        </is>
      </c>
      <c r="F8" s="4" t="inlineStr">
        <is>
          <t>Авто-онлайн</t>
        </is>
      </c>
      <c r="G8" s="4" t="inlineStr">
        <is>
          <t>Сводный отчёт</t>
        </is>
      </c>
      <c r="H8" s="4" t="inlineStr">
        <is>
          <t>Директор</t>
        </is>
      </c>
      <c r="I8" s="4" t="inlineStr">
        <is>
          <t>Битые формулы</t>
        </is>
      </c>
      <c r="J8" s="4" t="inlineStr">
        <is>
          <t>Формулы =СУММЕСЛИ()</t>
        </is>
      </c>
      <c r="K8" s="4" t="inlineStr">
        <is>
          <t>Проект структуры</t>
        </is>
      </c>
    </row>
    <row r="11">
      <c r="A11" t="inlineStr">
        <is>
          <t>Пояснение</t>
        </is>
      </c>
    </row>
    <row r="12">
      <c r="A12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3"/>
    <row r="14"/>
  </sheetData>
  <autoFilter ref="A1:K8"/>
  <mergeCells count="1">
    <mergeCell ref="A12:K14"/>
  </mergeCells>
  <pageMargins left="0.75" right="0.75" top="1" bottom="1" header="0.5" footer="0.5"/>
  <pageSetup orientation="landscape" paperSize="9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Этап цикла</t>
        </is>
      </c>
      <c r="B1" s="3" t="inlineStr">
        <is>
          <t>Подтверждаемая операция</t>
        </is>
      </c>
      <c r="C1" s="3" t="inlineStr">
        <is>
          <t>Первичный документ Бухгалтерии</t>
        </is>
      </c>
      <c r="D1" s="3" t="inlineStr">
        <is>
          <t>Назначение в системе контроля</t>
        </is>
      </c>
    </row>
    <row r="2" ht="36" customHeight="1">
      <c r="A2" s="4" t="inlineStr">
        <is>
          <t>Этап 0 (Затраты)</t>
        </is>
      </c>
      <c r="B2" s="4" t="inlineStr">
        <is>
          <t>Формирование себестоимости</t>
        </is>
      </c>
      <c r="C2" s="4" t="inlineStr">
        <is>
          <t>Техкарта, Путевой лист трактора, Требование-накладная, Табель ЗП</t>
        </is>
      </c>
      <c r="D2" s="4" t="inlineStr">
        <is>
          <t>Защита от приписок ГСМ и «мёртвых душ» .</t>
        </is>
      </c>
    </row>
    <row r="3" ht="36" customHeight="1">
      <c r="A3" s="4" t="inlineStr">
        <is>
          <t>Этап 1 (Сбор)</t>
        </is>
      </c>
      <c r="B3" s="4" t="inlineStr">
        <is>
          <t>Сбор и перевозка с поля</t>
        </is>
      </c>
      <c r="C3" s="4" t="inlineStr">
        <is>
          <t>Весовая ведомость, Талон комбайнёра, Путёвка на вывоз</t>
        </is>
      </c>
      <c r="D3" s="4" t="inlineStr">
        <is>
          <t>Фиксация валового намолота и зачётного веса.</t>
        </is>
      </c>
    </row>
    <row r="4" ht="36" customHeight="1">
      <c r="A4" s="4" t="inlineStr">
        <is>
          <t>Этап 2–3 (Склад)</t>
        </is>
      </c>
      <c r="B4" s="4" t="inlineStr">
        <is>
          <t>Доработка и хранение</t>
        </is>
      </c>
      <c r="C4" s="4" t="inlineStr">
        <is>
          <t>Приходный складской ордер, Акт сушки/сортировки, Акт приёмки кормов</t>
        </is>
      </c>
      <c r="D4" s="4" t="inlineStr">
        <is>
          <t>Оприходование готовой продукции на счёт 4326.</t>
        </is>
      </c>
    </row>
    <row r="5" ht="36" customHeight="1">
      <c r="A5" s="4" t="inlineStr">
        <is>
          <t>Этап 4 (Продажа)</t>
        </is>
      </c>
      <c r="B5" s="4" t="inlineStr">
        <is>
          <t>Коммерческая отгрузка</t>
        </is>
      </c>
      <c r="C5" s="4" t="inlineStr">
        <is>
          <t>Договор поставки, Товарная накладная, ТТН, Счёт-фактура, Доверенность М-2</t>
        </is>
      </c>
      <c r="D5" s="4" t="inlineStr">
        <is>
          <t>Отражение коммерческой выручки и НДС.</t>
        </is>
      </c>
    </row>
    <row r="6" ht="36" customHeight="1">
      <c r="A6" s="4" t="inlineStr">
        <is>
          <t>Этап 5 (Деньги)</t>
        </is>
      </c>
      <c r="B6" s="4" t="inlineStr">
        <is>
          <t>Поступление оплаты</t>
        </is>
      </c>
      <c r="C6" s="4" t="inlineStr">
        <is>
          <t>Платёжное поручение, Выписка банка, ПКО, Акт сверки</t>
        </is>
      </c>
      <c r="D6" s="4" t="inlineStr">
        <is>
          <t>Погашение дебиторской задолженности.</t>
        </is>
      </c>
    </row>
    <row r="7" ht="36" customHeight="1">
      <c r="A7" s="4" t="inlineStr">
        <is>
          <t>Этап 6 (Сверка)</t>
        </is>
      </c>
      <c r="B7" s="4" t="inlineStr">
        <is>
          <t>Сверка «Реестр vs Бухучёт»</t>
        </is>
      </c>
      <c r="C7" s="4" t="inlineStr">
        <is>
          <t>Инвентаризационная опись, Дашборд (Лист 06_Сводка)</t>
        </is>
      </c>
      <c r="D7" s="4" t="inlineStr">
        <is>
          <t>Сверка контрольного уравнения $\Delta = 0$.</t>
        </is>
      </c>
    </row>
    <row r="10">
      <c r="A10" t="inlineStr">
        <is>
          <t>Пояснение</t>
        </is>
      </c>
    </row>
    <row r="11">
      <c r="A11" s="6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2"/>
    <row r="13"/>
  </sheetData>
  <autoFilter ref="A1:D7"/>
  <mergeCells count="1">
    <mergeCell ref="A11:D13"/>
  </mergeCells>
  <pageMargins left="0.75" right="0.75" top="1" bottom="1" header="0.5" footer="0.5"/>
  <pageSetup orientation="landscape" paperSize="9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№</t>
        </is>
      </c>
      <c r="B1" s="3" t="inlineStr">
        <is>
          <t>Содержание хозяйственной операции</t>
        </is>
      </c>
      <c r="C1" s="3" t="inlineStr">
        <is>
          <t>Дебет (Дт)</t>
        </is>
      </c>
      <c r="D1" s="3" t="inlineStr">
        <is>
          <t>Кредит (Кт)</t>
        </is>
      </c>
      <c r="E1" s="3" t="inlineStr">
        <is>
          <t>Документ-основание</t>
        </is>
      </c>
    </row>
    <row r="2" ht="36" customHeight="1">
      <c r="A2" s="5" t="n">
        <v>1</v>
      </c>
      <c r="B2" s="4" t="inlineStr">
        <is>
          <t>Оприходование готового урожая с поля на склад</t>
        </is>
      </c>
      <c r="C2" s="5" t="n">
        <v>43</v>
      </c>
      <c r="D2" s="5" t="n">
        <v>20</v>
      </c>
      <c r="E2" s="4" t="inlineStr">
        <is>
          <t>Приходный складской ордер</t>
        </is>
      </c>
    </row>
    <row r="3" ht="36" customHeight="1">
      <c r="A3" s="5" t="n">
        <v>2</v>
      </c>
      <c r="B3" s="4" t="inlineStr">
        <is>
          <t>Передача урожая на семена или корм (внутр.)</t>
        </is>
      </c>
      <c r="C3" s="5" t="n">
        <v>10</v>
      </c>
      <c r="D3" s="5" t="n">
        <v>43</v>
      </c>
      <c r="E3" s="4" t="inlineStr">
        <is>
          <t>Накладная внутреннего перемещения</t>
        </is>
      </c>
    </row>
    <row r="4" ht="36" customHeight="1">
      <c r="A4" s="5" t="n">
        <v>3</v>
      </c>
      <c r="B4" s="4" t="inlineStr">
        <is>
          <t>Отражение выручки от реализации урожая</t>
        </is>
      </c>
      <c r="C4" s="5" t="n">
        <v>62</v>
      </c>
      <c r="D4" s="5" t="n">
        <v>90.09999999999999</v>
      </c>
      <c r="E4" s="4" t="inlineStr">
        <is>
          <t>Товарная накладная, Счёт-фактура</t>
        </is>
      </c>
    </row>
    <row r="5" ht="36" customHeight="1">
      <c r="A5" s="5" t="n">
        <v>4</v>
      </c>
      <c r="B5" s="4" t="inlineStr">
        <is>
          <t>Списание фактической себестоимости проданного урожая</t>
        </is>
      </c>
      <c r="C5" s="5" t="n">
        <v>90.2</v>
      </c>
      <c r="D5" s="5" t="n">
        <v>43</v>
      </c>
      <c r="E5" s="4" t="inlineStr">
        <is>
          <t>Товарная накладная</t>
        </is>
      </c>
    </row>
    <row r="6" ht="36" customHeight="1">
      <c r="A6" s="5" t="n">
        <v>5</v>
      </c>
      <c r="B6" s="4" t="inlineStr">
        <is>
          <t>Начисление НДС с коммерческой реализации</t>
        </is>
      </c>
      <c r="C6" s="5" t="n">
        <v>90.3</v>
      </c>
      <c r="D6" s="5" t="n">
        <v>68</v>
      </c>
      <c r="E6" s="4" t="inlineStr">
        <is>
          <t>Счёт-фактура</t>
        </is>
      </c>
    </row>
    <row r="7" ht="36" customHeight="1">
      <c r="A7" s="5" t="n">
        <v>6</v>
      </c>
      <c r="B7" s="4" t="inlineStr">
        <is>
          <t>Поступление денег от покупателя на расчётный счёт</t>
        </is>
      </c>
      <c r="C7" s="5" t="n">
        <v>51</v>
      </c>
      <c r="D7" s="5" t="n">
        <v>62</v>
      </c>
      <c r="E7" s="4" t="inlineStr">
        <is>
          <t>Выписка банка / Платёжное поручение</t>
        </is>
      </c>
    </row>
    <row r="8" ht="36" customHeight="1">
      <c r="A8" s="5" t="n">
        <v>7</v>
      </c>
      <c r="B8" s="4" t="inlineStr">
        <is>
          <t>Финансовый результат (Закрытие продаж)</t>
        </is>
      </c>
      <c r="C8" s="5" t="n">
        <v>90.90000000000001</v>
      </c>
      <c r="D8" s="5" t="n">
        <v>99</v>
      </c>
      <c r="E8" s="4" t="inlineStr">
        <is>
          <t>Справка-расчёт бухгалтерии</t>
        </is>
      </c>
    </row>
    <row r="11">
      <c r="A11" t="inlineStr">
        <is>
          <t>Пояснение</t>
        </is>
      </c>
    </row>
    <row r="12">
      <c r="A12" s="6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3"/>
    <row r="14"/>
  </sheetData>
  <autoFilter ref="A1:E8"/>
  <mergeCells count="1">
    <mergeCell ref="A12:E14"/>
  </mergeCells>
  <pageMargins left="0.75" right="0.75" top="1" bottom="1" header="0.5" footer="0.5"/>
  <pageSetup orientation="landscape" paperSize="9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(№)</t>
        </is>
      </c>
      <c r="B1" s="3" t="inlineStr">
        <is>
          <t>B (Этап цикла)</t>
        </is>
      </c>
      <c r="C1" s="3" t="inlineStr">
        <is>
          <t>C (Содержание операции)</t>
        </is>
      </c>
      <c r="D1" s="3" t="inlineStr">
        <is>
          <t>D (Первичный документ)</t>
        </is>
      </c>
      <c r="E1" s="3" t="inlineStr">
        <is>
          <t>E (Дт)</t>
        </is>
      </c>
      <c r="F1" s="3" t="inlineStr">
        <is>
          <t>F (Кт)</t>
        </is>
      </c>
      <c r="G1" s="3" t="inlineStr">
        <is>
          <t>G (Объём, т/шт)</t>
        </is>
      </c>
      <c r="H1" s="3" t="inlineStr">
        <is>
          <t>H (Сумма, сом)</t>
        </is>
      </c>
      <c r="I1" s="3" t="inlineStr">
        <is>
          <t>I (Лист Excel)</t>
        </is>
      </c>
      <c r="J1" s="3" t="inlineStr">
        <is>
          <t>J (Контроль подписи)</t>
        </is>
      </c>
      <c r="K1" s="3" t="inlineStr">
        <is>
          <t>K (Статус Проводки)</t>
        </is>
      </c>
    </row>
    <row r="2" ht="36" customHeight="1">
      <c r="A2" s="5" t="n">
        <v>1</v>
      </c>
      <c r="B2" s="4" t="inlineStr">
        <is>
          <t>Этап 1 (Сбор)</t>
        </is>
      </c>
      <c r="C2" s="4" t="inlineStr">
        <is>
          <t>Намолот пшеницы с поля</t>
        </is>
      </c>
      <c r="D2" s="4" t="inlineStr">
        <is>
          <t>Весовая ведомость</t>
        </is>
      </c>
      <c r="E2" s="4" t="inlineStr">
        <is>
          <t>Вне денежного регистра</t>
        </is>
      </c>
      <c r="F2" s="4" t="inlineStr">
        <is>
          <t>Физическое событие</t>
        </is>
      </c>
      <c r="G2" s="5" t="n">
        <v>472.5</v>
      </c>
      <c r="H2" s="4" t="inlineStr">
        <is>
          <t>Не денежная проводка</t>
        </is>
      </c>
      <c r="I2" s="4" t="inlineStr">
        <is>
          <t>02_Сбор</t>
        </is>
      </c>
      <c r="J2" s="4" t="inlineStr">
        <is>
          <t>Подпись весовщика</t>
        </is>
      </c>
      <c r="K2" s="4" t="inlineStr">
        <is>
          <t>Учебный пример; требуется проверка основания</t>
        </is>
      </c>
    </row>
    <row r="3" ht="36" customHeight="1">
      <c r="A3" s="5" t="n">
        <v>2</v>
      </c>
      <c r="B3" s="4" t="inlineStr">
        <is>
          <t>Этап 3 (Склад)</t>
        </is>
      </c>
      <c r="C3" s="4" t="inlineStr">
        <is>
          <t>Оприходование на Склад №1</t>
        </is>
      </c>
      <c r="D3" s="4" t="inlineStr">
        <is>
          <t>Приходный ордер</t>
        </is>
      </c>
      <c r="E3" s="4" t="inlineStr">
        <is>
          <t>Готовая продукция</t>
        </is>
      </c>
      <c r="F3" s="4" t="inlineStr">
        <is>
          <t>Производственные затраты</t>
        </is>
      </c>
      <c r="G3" s="5" t="n">
        <v>472.5</v>
      </c>
      <c r="H3" s="5" t="n">
        <v>888300</v>
      </c>
      <c r="I3" s="4" t="inlineStr">
        <is>
          <t>04_Склад</t>
        </is>
      </c>
      <c r="J3" s="4" t="inlineStr">
        <is>
          <t>Подпись кладовщика</t>
        </is>
      </c>
      <c r="K3" s="4" t="inlineStr">
        <is>
          <t>Учебный пример; требуется проверка основания</t>
        </is>
      </c>
    </row>
    <row r="4" ht="36" customHeight="1">
      <c r="A4" s="5" t="n">
        <v>3</v>
      </c>
      <c r="B4" s="4" t="inlineStr">
        <is>
          <t>Этап 3 (Внутр)</t>
        </is>
      </c>
      <c r="C4" s="4" t="inlineStr">
        <is>
          <t>Передача зерна на семена</t>
        </is>
      </c>
      <c r="D4" s="4" t="inlineStr">
        <is>
          <t>Накладная перемещ.</t>
        </is>
      </c>
      <c r="E4" s="4" t="inlineStr">
        <is>
          <t>Семена для производства</t>
        </is>
      </c>
      <c r="F4" s="4" t="inlineStr">
        <is>
          <t>Готовая продукция</t>
        </is>
      </c>
      <c r="G4" s="5" t="n">
        <v>47.25</v>
      </c>
      <c r="H4" s="5" t="n">
        <v>88830</v>
      </c>
      <c r="I4" s="4" t="inlineStr">
        <is>
          <t>04_Склад</t>
        </is>
      </c>
      <c r="J4" s="4" t="inlineStr">
        <is>
          <t>Агроном / Склад</t>
        </is>
      </c>
      <c r="K4" s="4" t="inlineStr">
        <is>
          <t>Учебный пример; требуется проверка основания</t>
        </is>
      </c>
    </row>
    <row r="5" ht="36" customHeight="1">
      <c r="A5" s="5" t="n">
        <v>4</v>
      </c>
      <c r="B5" s="4" t="inlineStr">
        <is>
          <t>Этап 4 (Продажи)</t>
        </is>
      </c>
      <c r="C5" s="4" t="inlineStr">
        <is>
          <t>Продажа 320 т пшеницы</t>
        </is>
      </c>
      <c r="D5" s="4" t="inlineStr">
        <is>
          <t>Товарная накладная</t>
        </is>
      </c>
      <c r="E5" s="4" t="inlineStr">
        <is>
          <t>Дебиторская задолженность</t>
        </is>
      </c>
      <c r="F5" s="4" t="inlineStr">
        <is>
          <t>Выручка</t>
        </is>
      </c>
      <c r="G5" s="5" t="n">
        <v>320</v>
      </c>
      <c r="H5" s="5" t="n">
        <v>1280000</v>
      </c>
      <c r="I5" s="4" t="inlineStr">
        <is>
          <t>05_Реализация</t>
        </is>
      </c>
      <c r="J5" s="4" t="inlineStr">
        <is>
          <t>Накладная + ТТН</t>
        </is>
      </c>
      <c r="K5" s="4" t="inlineStr">
        <is>
          <t>Учебный пример; требуется проверка основания</t>
        </is>
      </c>
    </row>
    <row r="6" ht="36" customHeight="1">
      <c r="A6" s="5" t="n">
        <v>5</v>
      </c>
      <c r="B6" s="4" t="inlineStr">
        <is>
          <t>Этап 4 (Списание)</t>
        </is>
      </c>
      <c r="C6" s="4" t="inlineStr">
        <is>
          <t>Себестоимость проданного</t>
        </is>
      </c>
      <c r="D6" s="4" t="inlineStr">
        <is>
          <t>Товарная накладная</t>
        </is>
      </c>
      <c r="E6" s="4" t="inlineStr">
        <is>
          <t>Себестоимость продаж</t>
        </is>
      </c>
      <c r="F6" s="4" t="inlineStr">
        <is>
          <t>Готовая продукция</t>
        </is>
      </c>
      <c r="G6" s="5" t="n">
        <v>320</v>
      </c>
      <c r="H6" s="5" t="n">
        <v>601600</v>
      </c>
      <c r="I6" s="4" t="inlineStr">
        <is>
          <t>05_Реализация</t>
        </is>
      </c>
      <c r="J6" s="4" t="inlineStr">
        <is>
          <t>Акт списания ГП</t>
        </is>
      </c>
      <c r="K6" s="4" t="inlineStr">
        <is>
          <t>Учебный пример; требуется проверка основания</t>
        </is>
      </c>
    </row>
    <row r="7" ht="36" customHeight="1">
      <c r="A7" s="5" t="n">
        <v>6</v>
      </c>
      <c r="B7" s="4" t="inlineStr">
        <is>
          <t>Этап 5 (Деньги)</t>
        </is>
      </c>
      <c r="C7" s="4" t="inlineStr">
        <is>
          <t>Оплата от покупателя</t>
        </is>
      </c>
      <c r="D7" s="4" t="inlineStr">
        <is>
          <t>Платёжное поручение</t>
        </is>
      </c>
      <c r="E7" s="4" t="inlineStr">
        <is>
          <t>Денежные средства</t>
        </is>
      </c>
      <c r="F7" s="4" t="inlineStr">
        <is>
          <t>Дебиторская задолженность</t>
        </is>
      </c>
      <c r="G7" s="4" t="inlineStr">
        <is>
          <t>—</t>
        </is>
      </c>
      <c r="H7" s="5" t="n">
        <v>1280000</v>
      </c>
      <c r="I7" s="4" t="inlineStr">
        <is>
          <t>05_Реализация</t>
        </is>
      </c>
      <c r="J7" s="4" t="inlineStr">
        <is>
          <t>Выписка банка</t>
        </is>
      </c>
      <c r="K7" s="4" t="inlineStr">
        <is>
          <t>Учебный пример; требуется проверка основания</t>
        </is>
      </c>
    </row>
    <row r="8" ht="36" customHeight="1">
      <c r="A8" s="5" t="n">
        <v>7</v>
      </c>
      <c r="B8" s="4" t="inlineStr">
        <is>
          <t>Этап 6 (Сверка)</t>
        </is>
      </c>
      <c r="C8" s="4" t="inlineStr">
        <is>
          <t>Недостача зерна (дыра)</t>
        </is>
      </c>
      <c r="D8" s="4" t="inlineStr">
        <is>
          <t>Акт инвентаризации</t>
        </is>
      </c>
      <c r="E8" s="4" t="inlineStr">
        <is>
          <t>Расхождение до выяснения</t>
        </is>
      </c>
      <c r="F8" s="4" t="inlineStr">
        <is>
          <t>Готовая продукция</t>
        </is>
      </c>
      <c r="G8" s="5" t="n">
        <v>2</v>
      </c>
      <c r="H8" s="5" t="n">
        <v>3760</v>
      </c>
      <c r="I8" s="4" t="inlineStr">
        <is>
          <t>06_Сводка</t>
        </is>
      </c>
      <c r="J8" s="4" t="inlineStr">
        <is>
          <t>НЕДОСТАЧА СБ</t>
        </is>
      </c>
      <c r="K8" s="4" t="inlineStr">
        <is>
          <t>Учебный пример; требуется проверка основания</t>
        </is>
      </c>
    </row>
    <row r="9" ht="36" customHeight="1">
      <c r="A9" s="4" t="inlineStr">
        <is>
          <t>ИТОГО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Разные операции: общий итог не имеет смысла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Учебный реестр</t>
        </is>
      </c>
    </row>
    <row r="12">
      <c r="A12" t="inlineStr">
        <is>
          <t>Пояснение</t>
        </is>
      </c>
    </row>
    <row r="13">
      <c r="A13" s="6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4"/>
    <row r="15"/>
  </sheetData>
  <autoFilter ref="A1:K9"/>
  <mergeCells count="1">
    <mergeCell ref="A13:K15"/>
  </mergeCells>
  <pageMargins left="0.75" right="0.75" top="1" bottom="1" header="0.5" footer="0.5"/>
  <pageSetup orientation="landscape" paperSize="9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6" customHeight="1">
      <c r="A1" s="3" t="inlineStr">
        <is>
          <t>A (№)</t>
        </is>
      </c>
      <c r="B1" s="3" t="inlineStr">
        <is>
          <t>B (Этап)</t>
        </is>
      </c>
      <c r="C1" s="3" t="inlineStr">
        <is>
          <t>C (Операция)</t>
        </is>
      </c>
      <c r="D1" s="3" t="inlineStr">
        <is>
          <t>D (Документ)</t>
        </is>
      </c>
      <c r="E1" s="3" t="inlineStr">
        <is>
          <t>E (Дт)</t>
        </is>
      </c>
      <c r="F1" s="3" t="inlineStr">
        <is>
          <t>F (Кт)</t>
        </is>
      </c>
      <c r="G1" s="3" t="inlineStr">
        <is>
          <t>G (Объём)</t>
        </is>
      </c>
      <c r="H1" s="3" t="inlineStr">
        <is>
          <t>H (Сумма)</t>
        </is>
      </c>
      <c r="I1" s="3" t="inlineStr">
        <is>
          <t>I (Лист)</t>
        </is>
      </c>
      <c r="J1" s="3" t="inlineStr">
        <is>
          <t>J (Контроль)</t>
        </is>
      </c>
      <c r="K1" s="3" t="inlineStr">
        <is>
          <t>K (Статус)</t>
        </is>
      </c>
    </row>
    <row r="2" ht="36" customHeight="1">
      <c r="A2" s="5" t="n">
        <v>1</v>
      </c>
      <c r="B2" s="4" t="inlineStr">
        <is>
          <t>Этап 1</t>
        </is>
      </c>
      <c r="C2" s="4" t="inlineStr">
        <is>
          <t>Намолот пшеницы</t>
        </is>
      </c>
      <c r="D2" s="4" t="inlineStr">
        <is>
          <t>Весовая ведомость</t>
        </is>
      </c>
      <c r="E2" s="4" t="inlineStr">
        <is>
          <t>Вне денежного регистра</t>
        </is>
      </c>
      <c r="F2" s="4" t="inlineStr">
        <is>
          <t>Физическое событие</t>
        </is>
      </c>
      <c r="G2" s="5" t="n">
        <v>472.5</v>
      </c>
      <c r="H2" s="4" t="inlineStr">
        <is>
          <t>Не денежная проводка</t>
        </is>
      </c>
      <c r="I2" s="4" t="inlineStr">
        <is>
          <t>02_Сбор</t>
        </is>
      </c>
      <c r="J2" s="4" t="inlineStr">
        <is>
          <t>Весовщик</t>
        </is>
      </c>
      <c r="K2" s="4" t="inlineStr">
        <is>
          <t>Учебный пример; требуется проверка основания</t>
        </is>
      </c>
    </row>
    <row r="3" ht="36" customHeight="1">
      <c r="A3" s="5" t="n">
        <v>2</v>
      </c>
      <c r="B3" s="4" t="inlineStr">
        <is>
          <t>Этап 3</t>
        </is>
      </c>
      <c r="C3" s="4" t="inlineStr">
        <is>
          <t>Оприходование Склад 1</t>
        </is>
      </c>
      <c r="D3" s="4" t="inlineStr">
        <is>
          <t>Приходный ордер</t>
        </is>
      </c>
      <c r="E3" s="4" t="inlineStr">
        <is>
          <t>Готовая продукция</t>
        </is>
      </c>
      <c r="F3" s="4" t="inlineStr">
        <is>
          <t>Производственные затраты</t>
        </is>
      </c>
      <c r="G3" s="5" t="n">
        <v>472.5</v>
      </c>
      <c r="H3" s="5" t="n">
        <v>888300</v>
      </c>
      <c r="I3" s="4" t="inlineStr">
        <is>
          <t>04_Склад</t>
        </is>
      </c>
      <c r="J3" s="4" t="inlineStr">
        <is>
          <t>Кладовщик</t>
        </is>
      </c>
      <c r="K3" s="4" t="inlineStr">
        <is>
          <t>Учебный пример; требуется проверка основания</t>
        </is>
      </c>
    </row>
    <row r="4" ht="36" customHeight="1">
      <c r="A4" s="5" t="n">
        <v>3</v>
      </c>
      <c r="B4" s="4" t="inlineStr">
        <is>
          <t>Этап 3</t>
        </is>
      </c>
      <c r="C4" s="4" t="inlineStr">
        <is>
          <t>Семена на следующий год</t>
        </is>
      </c>
      <c r="D4" s="4" t="inlineStr">
        <is>
          <t>Накладная перемещ.</t>
        </is>
      </c>
      <c r="E4" s="4" t="inlineStr">
        <is>
          <t>Семена для производства</t>
        </is>
      </c>
      <c r="F4" s="4" t="inlineStr">
        <is>
          <t>Готовая продукция</t>
        </is>
      </c>
      <c r="G4" s="5" t="n">
        <v>47.25</v>
      </c>
      <c r="H4" s="5" t="n">
        <v>88830</v>
      </c>
      <c r="I4" s="4" t="inlineStr">
        <is>
          <t>04_Склад</t>
        </is>
      </c>
      <c r="J4" s="4" t="inlineStr">
        <is>
          <t>Агроном</t>
        </is>
      </c>
      <c r="K4" s="4" t="inlineStr">
        <is>
          <t>Учебный пример; требуется проверка основания</t>
        </is>
      </c>
    </row>
    <row r="5" ht="36" customHeight="1">
      <c r="A5" s="5" t="n">
        <v>4</v>
      </c>
      <c r="B5" s="4" t="inlineStr">
        <is>
          <t>Этап 4</t>
        </is>
      </c>
      <c r="C5" s="4" t="inlineStr">
        <is>
          <t>Продажа 320 т пшеницы</t>
        </is>
      </c>
      <c r="D5" s="4" t="inlineStr">
        <is>
          <t>Товарная накладная</t>
        </is>
      </c>
      <c r="E5" s="4" t="inlineStr">
        <is>
          <t>Дебиторская задолженность</t>
        </is>
      </c>
      <c r="F5" s="4" t="inlineStr">
        <is>
          <t>Выручка</t>
        </is>
      </c>
      <c r="G5" s="5" t="n">
        <v>320</v>
      </c>
      <c r="H5" s="5" t="n">
        <v>1280000</v>
      </c>
      <c r="I5" s="4" t="inlineStr">
        <is>
          <t>05_Реализация</t>
        </is>
      </c>
      <c r="J5" s="4" t="inlineStr">
        <is>
          <t>Накладная + ТТН</t>
        </is>
      </c>
      <c r="K5" s="4" t="inlineStr">
        <is>
          <t>Учебный пример; требуется проверка основания</t>
        </is>
      </c>
    </row>
    <row r="6" ht="36" customHeight="1">
      <c r="A6" s="5" t="n">
        <v>5</v>
      </c>
      <c r="B6" s="4" t="inlineStr">
        <is>
          <t>Этап 4</t>
        </is>
      </c>
      <c r="C6" s="4" t="inlineStr">
        <is>
          <t>Себестоимость продаж</t>
        </is>
      </c>
      <c r="D6" s="4" t="inlineStr">
        <is>
          <t>Товарная накладная</t>
        </is>
      </c>
      <c r="E6" s="4" t="inlineStr">
        <is>
          <t>Себестоимость продаж</t>
        </is>
      </c>
      <c r="F6" s="4" t="inlineStr">
        <is>
          <t>Готовая продукция</t>
        </is>
      </c>
      <c r="G6" s="5" t="n">
        <v>320</v>
      </c>
      <c r="H6" s="5" t="n">
        <v>601600</v>
      </c>
      <c r="I6" s="4" t="inlineStr">
        <is>
          <t>05_Реализация</t>
        </is>
      </c>
      <c r="J6" s="4" t="inlineStr">
        <is>
          <t>Акт списания</t>
        </is>
      </c>
      <c r="K6" s="4" t="inlineStr">
        <is>
          <t>Учебный пример; требуется проверка основания</t>
        </is>
      </c>
    </row>
    <row r="7" ht="36" customHeight="1">
      <c r="A7" s="5" t="n">
        <v>6</v>
      </c>
      <c r="B7" s="4" t="inlineStr">
        <is>
          <t>Этап 5</t>
        </is>
      </c>
      <c r="C7" s="4" t="inlineStr">
        <is>
          <t>Оплата от покупателя</t>
        </is>
      </c>
      <c r="D7" s="4" t="inlineStr">
        <is>
          <t>Платёжное поручение</t>
        </is>
      </c>
      <c r="E7" s="4" t="inlineStr">
        <is>
          <t>Денежные средства</t>
        </is>
      </c>
      <c r="F7" s="4" t="inlineStr">
        <is>
          <t>Дебиторская задолженность</t>
        </is>
      </c>
      <c r="G7" s="4" t="inlineStr">
        <is>
          <t>—</t>
        </is>
      </c>
      <c r="H7" s="5" t="n">
        <v>1280000</v>
      </c>
      <c r="I7" s="4" t="inlineStr">
        <is>
          <t>05_Реализация</t>
        </is>
      </c>
      <c r="J7" s="4" t="inlineStr">
        <is>
          <t>Выписка банка</t>
        </is>
      </c>
      <c r="K7" s="4" t="inlineStr">
        <is>
          <t>Учебный пример; требуется проверка основания</t>
        </is>
      </c>
    </row>
    <row r="8" ht="36" customHeight="1">
      <c r="A8" s="5" t="n">
        <v>7</v>
      </c>
      <c r="B8" s="4" t="inlineStr">
        <is>
          <t>Этап 6</t>
        </is>
      </c>
      <c r="C8" s="4" t="inlineStr">
        <is>
          <t>Недостача зерна (дыра)</t>
        </is>
      </c>
      <c r="D8" s="4" t="inlineStr">
        <is>
          <t>Акт инвентаризации</t>
        </is>
      </c>
      <c r="E8" s="4" t="inlineStr">
        <is>
          <t>Расхождение до выяснения</t>
        </is>
      </c>
      <c r="F8" s="4" t="inlineStr">
        <is>
          <t>Готовая продукция</t>
        </is>
      </c>
      <c r="G8" s="5" t="n">
        <v>2</v>
      </c>
      <c r="H8" s="5" t="n">
        <v>3760</v>
      </c>
      <c r="I8" s="4" t="inlineStr">
        <is>
          <t>06_Сводка</t>
        </is>
      </c>
      <c r="J8" s="4" t="inlineStr">
        <is>
          <t>НЕДОСТАЧА СБ</t>
        </is>
      </c>
      <c r="K8" s="4" t="inlineStr">
        <is>
          <t>Учебный пример; требуется проверка основания</t>
        </is>
      </c>
    </row>
    <row r="9" ht="36" customHeight="1">
      <c r="A9" s="4" t="inlineStr">
        <is>
          <t>ИТОГО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Разные операции: общий итог не имеет смысла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Учебный реестр</t>
        </is>
      </c>
    </row>
    <row r="12">
      <c r="A12" t="inlineStr">
        <is>
          <t>Пояснение</t>
        </is>
      </c>
    </row>
    <row r="13">
      <c r="A13" s="6" t="inlineStr">
        <is>
          <t>Приведена экономическая логика двойной записи, а не обязательный национальный план счетов. Учётная оценка урожая зависит от применимых стандартов, включая особенности сельхозпродукции. Физическая регистрация сбора и приход склада не должны повторно увеличивать актив.</t>
        </is>
      </c>
    </row>
    <row r="14"/>
    <row r="15"/>
  </sheetData>
  <autoFilter ref="A1:K9"/>
  <mergeCells count="1">
    <mergeCell ref="A13:K15"/>
  </mergeCells>
  <pageMargins left="0.75" right="0.75" top="1" bottom="1" header="0.5" footer="0.5"/>
  <pageSetup orientation="landscape" paperSize="9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 ht="46" customHeight="1">
      <c r="A1" s="3" t="inlineStr">
        <is>
          <t>Часть документа</t>
        </is>
      </c>
      <c r="B1" s="3" t="inlineStr">
        <is>
          <t>Юридическое содержание</t>
        </is>
      </c>
      <c r="C1" s="3" t="inlineStr">
        <is>
          <t>Степень изменчивости</t>
        </is>
      </c>
      <c r="D1" s="3" t="inlineStr">
        <is>
          <t>Источник в системе автоматизации</t>
        </is>
      </c>
    </row>
    <row r="2" ht="36" customHeight="1">
      <c r="A2" s="4" t="inlineStr">
        <is>
          <t>Тело договора (разд. 1–6)</t>
        </is>
      </c>
      <c r="B2" s="4" t="inlineStr">
        <is>
          <t>Предмет, права и обязанности, порядок расчётов, ответственность, срок до 31.12.2026</t>
        </is>
      </c>
      <c r="C2" s="4" t="inlineStr">
        <is>
          <t>Постоянно (меняются только реквизиты физлица)</t>
        </is>
      </c>
      <c r="D2" s="4" t="inlineStr">
        <is>
          <t>Реестр исполнителей $\rightarrow$ Шаблон Word</t>
        </is>
      </c>
    </row>
    <row r="3" ht="36" customHeight="1">
      <c r="A3" s="4" t="inlineStr">
        <is>
          <t>Приложение №1</t>
        </is>
      </c>
      <c r="B3" s="4" t="inlineStr">
        <is>
          <t>Утверждённый Справочник 32 видов сельхозработ с расценками 2026 года</t>
        </is>
      </c>
      <c r="C3" s="4" t="inlineStr">
        <is>
          <t>Единый константный прайс-лист на весь сезон 2026612</t>
        </is>
      </c>
      <c r="D3" s="4" t="inlineStr">
        <is>
          <t>Справочник работ Excel</t>
        </is>
      </c>
    </row>
    <row r="4" ht="36" customHeight="1">
      <c r="A4" s="4" t="inlineStr">
        <is>
          <t>Приложение №2</t>
        </is>
      </c>
      <c r="B4" s="4" t="inlineStr">
        <is>
          <t>Форма Акта выполненных работ (сдаётся не позднее 15 числа след. месяца)</t>
        </is>
      </c>
      <c r="C4" s="4" t="inlineStr">
        <is>
          <t>Переменная (заполняется ежемесячно по факту)</t>
        </is>
      </c>
      <c r="D4" s="4" t="inlineStr">
        <is>
          <t>Журнал работ $\rightarrow$ Шаблон Акта Word</t>
        </is>
      </c>
    </row>
    <row r="5" ht="36" customHeight="1">
      <c r="A5" s="4" t="inlineStr">
        <is>
          <t>Приложение №3</t>
        </is>
      </c>
      <c r="B5" s="4" t="inlineStr">
        <is>
          <t>Форма Заявки на выполнение работ (устанавливает плановое задание)</t>
        </is>
      </c>
      <c r="C5" s="4" t="inlineStr">
        <is>
          <t>Переменная (заполняется ежемесячно в начале)</t>
        </is>
      </c>
      <c r="D5" s="4" t="inlineStr">
        <is>
          <t>Журнал работ $\rightarrow$ Шаблон Заявки Word</t>
        </is>
      </c>
    </row>
    <row r="8">
      <c r="A8" t="inlineStr">
        <is>
          <t>Пояснение</t>
        </is>
      </c>
    </row>
    <row r="9">
      <c r="A9" s="6" t="inlineStr">
        <is>
          <t>Все данные заданы для учебного сценария. Уточните период, единицы и основания до практического применения.</t>
        </is>
      </c>
    </row>
    <row r="10"/>
    <row r="11"/>
  </sheetData>
  <autoFilter ref="A1:D5"/>
  <mergeCells count="1">
    <mergeCell ref="A9:D11"/>
  </mergeCells>
  <pageMargins left="0.75" right="0.75" top="1" bottom="1" header="0.5" footer="0.5"/>
  <pageSetup orientation="landscape" paperSize="9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6" customHeight="1">
      <c r="A1" s="3" t="inlineStr">
        <is>
          <t>№</t>
        </is>
      </c>
      <c r="B1" s="3" t="inlineStr">
        <is>
          <t>Работа</t>
        </is>
      </c>
      <c r="C1" s="3" t="inlineStr">
        <is>
          <t>Объём, га</t>
        </is>
      </c>
      <c r="D1" s="3" t="inlineStr">
        <is>
          <t>Учебный тариф, сом/га</t>
        </is>
      </c>
      <c r="E1" s="3" t="inlineStr">
        <is>
          <t>Сумма, сом</t>
        </is>
      </c>
    </row>
    <row r="2" ht="36" customHeight="1">
      <c r="A2" s="5" t="n">
        <v>1</v>
      </c>
      <c r="B2" s="4" t="inlineStr">
        <is>
          <t>Нарезка каналов</t>
        </is>
      </c>
      <c r="C2" s="5" t="n">
        <v>2.5</v>
      </c>
      <c r="D2" s="5" t="n">
        <v>100.52</v>
      </c>
      <c r="E2" s="5" t="n">
        <v>251.3</v>
      </c>
    </row>
    <row r="3" ht="36" customHeight="1">
      <c r="A3" s="5" t="n">
        <v>2</v>
      </c>
      <c r="B3" s="4" t="inlineStr">
        <is>
          <t>Зимний полив</t>
        </is>
      </c>
      <c r="C3" s="5" t="n">
        <v>2.5</v>
      </c>
      <c r="D3" s="5" t="n">
        <v>148.18</v>
      </c>
      <c r="E3" s="5" t="n">
        <v>370.45</v>
      </c>
    </row>
    <row r="4" ht="36" customHeight="1">
      <c r="A4" s="5" t="n">
        <v>3</v>
      </c>
      <c r="B4" s="4" t="inlineStr">
        <is>
          <t>Очистка системы</t>
        </is>
      </c>
      <c r="C4" s="5" t="n">
        <v>2.5</v>
      </c>
      <c r="D4" s="5" t="n">
        <v>173.94</v>
      </c>
      <c r="E4" s="5" t="n">
        <v>434.85</v>
      </c>
    </row>
    <row r="5" ht="36" customHeight="1">
      <c r="A5" s="4" t="inlineStr">
        <is>
          <t>Итого</t>
        </is>
      </c>
      <c r="B5" s="4" t="inlineStr"/>
      <c r="C5" s="4" t="inlineStr"/>
      <c r="D5" s="4" t="inlineStr"/>
      <c r="E5" s="5" t="n">
        <v>1056.6</v>
      </c>
    </row>
    <row r="8">
      <c r="A8" t="inlineStr">
        <is>
          <t>Пояснение</t>
        </is>
      </c>
    </row>
    <row r="9">
      <c r="A9" s="6" t="inlineStr">
        <is>
          <t>Для этого расчёта все тарифы заданы за гектар. Если договор оплачивает погонный метр, надо заменить и количество, и единицу тарифа. Нельзя умножать площадь на тариф за длину.</t>
        </is>
      </c>
    </row>
    <row r="10"/>
    <row r="11"/>
  </sheetData>
  <autoFilter ref="A1:E5"/>
  <mergeCells count="1">
    <mergeCell ref="A9:E11"/>
  </mergeCells>
  <pageMargins left="0.75" right="0.75" top="1" bottom="1" header="0.5" footer="0.5"/>
  <pageSetup orientation="landscape" paperSize="9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(№)</t>
        </is>
      </c>
      <c r="B1" s="3" t="inlineStr">
        <is>
          <t>B (ФИО Исполнителя)</t>
        </is>
      </c>
      <c r="C1" s="3" t="inlineStr">
        <is>
          <t>C (№ Договора)</t>
        </is>
      </c>
      <c r="D1" s="3" t="inlineStr">
        <is>
          <t>D (Вид работы)</t>
        </is>
      </c>
      <c r="E1" s="3" t="inlineStr">
        <is>
          <t>E (Ед. изм.)</t>
        </is>
      </c>
      <c r="F1" s="3" t="inlineStr">
        <is>
          <t>F (Объём, га/пм)</t>
        </is>
      </c>
      <c r="G1" s="3" t="inlineStr">
        <is>
          <t>G (Расценка Прил.1, сом)</t>
        </is>
      </c>
      <c r="H1" s="3" t="inlineStr">
        <is>
          <t>H (Сумма Начислено, сом)</t>
        </is>
      </c>
      <c r="I1" s="3" t="inlineStr">
        <is>
          <t>I (Подтверждение Площади)</t>
        </is>
      </c>
      <c r="J1" s="3" t="inlineStr">
        <is>
          <t>J (Проверка Расценки)</t>
        </is>
      </c>
      <c r="K1" s="3" t="inlineStr">
        <is>
          <t>K (Статус Акта)</t>
        </is>
      </c>
      <c r="L1" s="3" t="inlineStr">
        <is>
          <t>L (Юр. Риск)</t>
        </is>
      </c>
    </row>
    <row r="2" ht="36" customHeight="1">
      <c r="A2" s="5" t="n">
        <v>1</v>
      </c>
      <c r="B2" s="4" t="inlineStr">
        <is>
          <t>Сотрудник 19</t>
        </is>
      </c>
      <c r="C2" s="4" t="inlineStr">
        <is>
          <t>ГПХ-01/26</t>
        </is>
      </c>
      <c r="D2" s="4" t="inlineStr">
        <is>
          <t>Нарезка кашака</t>
        </is>
      </c>
      <c r="E2" s="4" t="inlineStr">
        <is>
          <t>га</t>
        </is>
      </c>
      <c r="F2" s="5" t="n">
        <v>2.5</v>
      </c>
      <c r="G2" s="5" t="n">
        <v>100.52</v>
      </c>
      <c r="H2" s="7">
        <f>F2*G2</f>
        <v>251.29999999999998</v>
      </c>
      <c r="I2" s="4" t="inlineStr">
        <is>
          <t>В ПРЕДЕЛАХ АУ-1</t>
        </is>
      </c>
      <c r="J2" s="4" t="inlineStr">
        <is>
          <t>СОВПАДАЕТ</t>
        </is>
      </c>
      <c r="K2" s="4" t="inlineStr">
        <is>
          <t>ПОДПИСАНО</t>
        </is>
      </c>
      <c r="L2" s="4" t="inlineStr">
        <is>
          <t>ИНН ВЕРЕН</t>
        </is>
      </c>
    </row>
    <row r="3" ht="36" customHeight="1">
      <c r="A3" s="5" t="n">
        <v>2</v>
      </c>
      <c r="B3" s="4" t="inlineStr">
        <is>
          <t>Сотрудник 19</t>
        </is>
      </c>
      <c r="C3" s="4" t="inlineStr">
        <is>
          <t>ГПХ-01/26</t>
        </is>
      </c>
      <c r="D3" s="4" t="inlineStr">
        <is>
          <t>Зимний полив</t>
        </is>
      </c>
      <c r="E3" s="4" t="inlineStr">
        <is>
          <t>га</t>
        </is>
      </c>
      <c r="F3" s="5" t="n">
        <v>2.5</v>
      </c>
      <c r="G3" s="5" t="n">
        <v>148.18</v>
      </c>
      <c r="H3" s="7">
        <f>F3*G3</f>
        <v>370.45000000000005</v>
      </c>
      <c r="I3" s="4" t="inlineStr">
        <is>
          <t>В ПРЕДЕЛАХ АУ-1</t>
        </is>
      </c>
      <c r="J3" s="4" t="inlineStr">
        <is>
          <t>СОВПАДАЕТ</t>
        </is>
      </c>
      <c r="K3" s="4" t="inlineStr">
        <is>
          <t>ПОДПИСАНО</t>
        </is>
      </c>
      <c r="L3" s="4" t="inlineStr">
        <is>
          <t>ИНН ВЕРЕН</t>
        </is>
      </c>
    </row>
    <row r="4" ht="36" customHeight="1">
      <c r="A4" s="5" t="n">
        <v>3</v>
      </c>
      <c r="B4" s="4" t="inlineStr">
        <is>
          <t>Сотрудник 19</t>
        </is>
      </c>
      <c r="C4" s="4" t="inlineStr">
        <is>
          <t>ГПХ-01/26</t>
        </is>
      </c>
      <c r="D4" s="4" t="inlineStr">
        <is>
          <t>Очистка оросит.</t>
        </is>
      </c>
      <c r="E4" s="4" t="inlineStr">
        <is>
          <t>га</t>
        </is>
      </c>
      <c r="F4" s="5" t="n">
        <v>2.5</v>
      </c>
      <c r="G4" s="5" t="n">
        <v>173.94</v>
      </c>
      <c r="H4" s="7">
        <f>F4*G4</f>
        <v>434.85</v>
      </c>
      <c r="I4" s="4" t="inlineStr">
        <is>
          <t>В ПРЕДЕЛАХ АУ-1</t>
        </is>
      </c>
      <c r="J4" s="4" t="inlineStr">
        <is>
          <t>СОВПАДАЕТ</t>
        </is>
      </c>
      <c r="K4" s="4" t="inlineStr">
        <is>
          <t>ПОДПИСАНО</t>
        </is>
      </c>
      <c r="L4" s="4" t="inlineStr">
        <is>
          <t>ИНН ВЕРЕН</t>
        </is>
      </c>
    </row>
    <row r="5" ht="36" customHeight="1">
      <c r="A5" s="5" t="n">
        <v>4</v>
      </c>
      <c r="B5" s="4" t="inlineStr">
        <is>
          <t>Сотрудник 15</t>
        </is>
      </c>
      <c r="C5" s="4" t="inlineStr">
        <is>
          <t>ГПХ-02/26</t>
        </is>
      </c>
      <c r="D5" s="4" t="inlineStr">
        <is>
          <t>Мотыжение 1</t>
        </is>
      </c>
      <c r="E5" s="4" t="inlineStr">
        <is>
          <t>га</t>
        </is>
      </c>
      <c r="F5" s="5" t="n">
        <v>5</v>
      </c>
      <c r="G5" s="5" t="n">
        <v>462.53</v>
      </c>
      <c r="H5" s="7">
        <f>F5*G5</f>
        <v>2312.6499999999996</v>
      </c>
      <c r="I5" s="4" t="inlineStr">
        <is>
          <t>ПРЕВЫШЕНИЕ ПЛОЩАДИ</t>
        </is>
      </c>
      <c r="J5" s="4" t="inlineStr">
        <is>
          <t>СОВПАДАЕТ</t>
        </is>
      </c>
      <c r="K5" s="4" t="inlineStr">
        <is>
          <t>ОШИБКА АКТА</t>
        </is>
      </c>
      <c r="L5" s="4" t="inlineStr">
        <is>
          <t>РАЗНЫЙ ИНН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7">
        <f>SUM(H2:H5)</f>
        <v>3369.2499999999995</v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  <c r="L6" s="4" t="inlineStr">
        <is>
          <t>Проверить строки с индикаторами</t>
        </is>
      </c>
    </row>
    <row r="9">
      <c r="A9" t="inlineStr">
        <is>
          <t>Пояснение</t>
        </is>
      </c>
    </row>
    <row r="10">
      <c r="A10" s="6" t="inlineStr">
        <is>
          <t>Для этого расчёта все тарифы заданы за гектар. Если договор оплачивает погонный метр, надо заменить и количество, и единицу тарифа. Нельзя умножать площадь на тариф за длину.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46" customHeight="1">
      <c r="A1" s="3" t="inlineStr">
        <is>
          <t>A (№)</t>
        </is>
      </c>
      <c r="B1" s="3" t="inlineStr">
        <is>
          <t>B (ФИО)</t>
        </is>
      </c>
      <c r="C1" s="3" t="inlineStr">
        <is>
          <t>C (№ Дог.)</t>
        </is>
      </c>
      <c r="D1" s="3" t="inlineStr">
        <is>
          <t>D (Работа)</t>
        </is>
      </c>
      <c r="E1" s="3" t="inlineStr">
        <is>
          <t>E (Ед.)</t>
        </is>
      </c>
      <c r="F1" s="3" t="inlineStr">
        <is>
          <t>F (Объём)</t>
        </is>
      </c>
      <c r="G1" s="3" t="inlineStr">
        <is>
          <t>G (Расценка)</t>
        </is>
      </c>
      <c r="H1" s="3" t="inlineStr">
        <is>
          <t>H (Сумма)</t>
        </is>
      </c>
      <c r="I1" s="3" t="inlineStr">
        <is>
          <t>I (Площадь)</t>
        </is>
      </c>
      <c r="J1" s="3" t="inlineStr">
        <is>
          <t>J (Расценка)</t>
        </is>
      </c>
      <c r="K1" s="3" t="inlineStr">
        <is>
          <t>K (Статус)</t>
        </is>
      </c>
      <c r="L1" s="3" t="inlineStr">
        <is>
          <t>L (Юр. Риск)</t>
        </is>
      </c>
    </row>
    <row r="2" ht="36" customHeight="1">
      <c r="A2" s="5" t="n">
        <v>1</v>
      </c>
      <c r="B2" s="4" t="inlineStr">
        <is>
          <t>Сотрудник 19</t>
        </is>
      </c>
      <c r="C2" s="4" t="inlineStr">
        <is>
          <t>ГПХ-01/26</t>
        </is>
      </c>
      <c r="D2" s="4" t="inlineStr">
        <is>
          <t>Нарезка кашака</t>
        </is>
      </c>
      <c r="E2" s="4" t="inlineStr">
        <is>
          <t>га</t>
        </is>
      </c>
      <c r="F2" s="5" t="n">
        <v>2.5</v>
      </c>
      <c r="G2" s="5" t="n">
        <v>100.52</v>
      </c>
      <c r="H2" s="7">
        <f>F2*G2</f>
        <v>251.29999999999998</v>
      </c>
      <c r="I2" s="4" t="inlineStr">
        <is>
          <t>В ПРЕДЕЛАХ АУ-1</t>
        </is>
      </c>
      <c r="J2" s="4" t="inlineStr">
        <is>
          <t>СОВПАДАЕТ</t>
        </is>
      </c>
      <c r="K2" s="4" t="inlineStr">
        <is>
          <t>ПОДПИСАНО</t>
        </is>
      </c>
      <c r="L2" s="4" t="inlineStr">
        <is>
          <t>ИНН ВЕРЕН</t>
        </is>
      </c>
    </row>
    <row r="3" ht="36" customHeight="1">
      <c r="A3" s="5" t="n">
        <v>2</v>
      </c>
      <c r="B3" s="4" t="inlineStr">
        <is>
          <t>Сотрудник 19</t>
        </is>
      </c>
      <c r="C3" s="4" t="inlineStr">
        <is>
          <t>ГПХ-01/26</t>
        </is>
      </c>
      <c r="D3" s="4" t="inlineStr">
        <is>
          <t>Зимний полив</t>
        </is>
      </c>
      <c r="E3" s="4" t="inlineStr">
        <is>
          <t>га</t>
        </is>
      </c>
      <c r="F3" s="5" t="n">
        <v>2.5</v>
      </c>
      <c r="G3" s="5" t="n">
        <v>148.18</v>
      </c>
      <c r="H3" s="7">
        <f>F3*G3</f>
        <v>370.45000000000005</v>
      </c>
      <c r="I3" s="4" t="inlineStr">
        <is>
          <t>В ПРЕДЕЛАХ АУ-1</t>
        </is>
      </c>
      <c r="J3" s="4" t="inlineStr">
        <is>
          <t>СОВПАДАЕТ</t>
        </is>
      </c>
      <c r="K3" s="4" t="inlineStr">
        <is>
          <t>ПОДПИСАНО</t>
        </is>
      </c>
      <c r="L3" s="4" t="inlineStr">
        <is>
          <t>ИНН ВЕРЕН</t>
        </is>
      </c>
    </row>
    <row r="4" ht="36" customHeight="1">
      <c r="A4" s="5" t="n">
        <v>3</v>
      </c>
      <c r="B4" s="4" t="inlineStr">
        <is>
          <t>Сотрудник 19</t>
        </is>
      </c>
      <c r="C4" s="4" t="inlineStr">
        <is>
          <t>ГПХ-01/26</t>
        </is>
      </c>
      <c r="D4" s="4" t="inlineStr">
        <is>
          <t>Очистка оросит.</t>
        </is>
      </c>
      <c r="E4" s="4" t="inlineStr">
        <is>
          <t>га</t>
        </is>
      </c>
      <c r="F4" s="5" t="n">
        <v>2.5</v>
      </c>
      <c r="G4" s="5" t="n">
        <v>173.94</v>
      </c>
      <c r="H4" s="7">
        <f>F4*G4</f>
        <v>434.85</v>
      </c>
      <c r="I4" s="4" t="inlineStr">
        <is>
          <t>В ПРЕДЕЛАХ АУ-1</t>
        </is>
      </c>
      <c r="J4" s="4" t="inlineStr">
        <is>
          <t>СОВПАДАЕТ</t>
        </is>
      </c>
      <c r="K4" s="4" t="inlineStr">
        <is>
          <t>ПОДПИСАНО</t>
        </is>
      </c>
      <c r="L4" s="4" t="inlineStr">
        <is>
          <t>ИНН ВЕРЕН</t>
        </is>
      </c>
    </row>
    <row r="5" ht="36" customHeight="1">
      <c r="A5" s="5" t="n">
        <v>4</v>
      </c>
      <c r="B5" s="4" t="inlineStr">
        <is>
          <t>Сотрудник 15</t>
        </is>
      </c>
      <c r="C5" s="4" t="inlineStr">
        <is>
          <t>ГПХ-02/26</t>
        </is>
      </c>
      <c r="D5" s="4" t="inlineStr">
        <is>
          <t>Мотыжение 1</t>
        </is>
      </c>
      <c r="E5" s="4" t="inlineStr">
        <is>
          <t>га</t>
        </is>
      </c>
      <c r="F5" s="5" t="n">
        <v>5</v>
      </c>
      <c r="G5" s="5" t="n">
        <v>462.53</v>
      </c>
      <c r="H5" s="7">
        <f>F5*G5</f>
        <v>2312.6499999999996</v>
      </c>
      <c r="I5" s="4" t="inlineStr">
        <is>
          <t>ПРЕВЫШЕНИЕ ПЛОЩАДИ</t>
        </is>
      </c>
      <c r="J5" s="4" t="inlineStr">
        <is>
          <t>СОВПАДАЕТ</t>
        </is>
      </c>
      <c r="K5" s="4" t="inlineStr">
        <is>
          <t>ОШИБКА АКТА</t>
        </is>
      </c>
      <c r="L5" s="4" t="inlineStr">
        <is>
          <t>РАЗНЫЙ ИНН</t>
        </is>
      </c>
    </row>
    <row r="6" ht="36" customHeight="1">
      <c r="A6" s="4" t="inlineStr">
        <is>
          <t>ИТОГО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7">
        <f>SUM(H2:H5)</f>
        <v>3369.2499999999995</v>
      </c>
      <c r="I6" s="4" t="inlineStr">
        <is>
          <t>—</t>
        </is>
      </c>
      <c r="J6" s="4" t="inlineStr">
        <is>
          <t>—</t>
        </is>
      </c>
      <c r="K6" s="4" t="inlineStr">
        <is>
          <t>Учебная сверка</t>
        </is>
      </c>
      <c r="L6" s="4" t="inlineStr">
        <is>
          <t>Проверить строки с индикаторами</t>
        </is>
      </c>
    </row>
    <row r="9">
      <c r="A9" t="inlineStr">
        <is>
          <t>Пояснение</t>
        </is>
      </c>
    </row>
    <row r="10">
      <c r="A10" s="6" t="inlineStr">
        <is>
          <t>Для этого расчёта все тарифы заданы за гектар. Если договор оплачивает погонный метр, надо заменить и количество, и единицу тарифа. Нельзя умножать площадь на тариф за длину.</t>
        </is>
      </c>
    </row>
    <row r="11"/>
    <row r="12"/>
  </sheetData>
  <autoFilter ref="A1:L6"/>
  <mergeCells count="1">
    <mergeCell ref="A10:L1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2026-10-11T11:15:10Z</dcterms:created>
  <dcterms:modified xmlns:dcterms="http://purl.org/dc/terms/" xmlns:xsi="http://www.w3.org/2001/XMLSchema-instance" xsi:type="dcterms:W3CDTF">2026-10-11T11:15:11Z</dcterms:modified>
</cp:coreProperties>
</file>